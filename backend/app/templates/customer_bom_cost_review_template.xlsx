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name="Customer BOM Cost Review" sheetId="1" state="visible" r:id="rId1"/>
  </sheets>
  <definedNames>
    <definedName name="_xlnm._FilterDatabase" localSheetId="0" hidden="1">'Customer BOM Cost Review'!$A$15:$L$90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00"/>
    <numFmt numFmtId="165" formatCode="&quot;$&quot;#,##0.00"/>
    <numFmt numFmtId="166" formatCode="&quot;$&quot;#,##0.0"/>
  </numFmts>
  <fonts count="12">
    <font>
      <name val="Calibri"/>
      <family val="2"/>
      <color theme="1"/>
      <sz val="11"/>
      <scheme val="minor"/>
    </font>
    <font>
      <name val="Calibri"/>
      <family val="2"/>
      <color rgb="FF44546A"/>
      <sz val="11"/>
    </font>
    <font>
      <name val="Calibri"/>
      <family val="2"/>
      <b val="1"/>
      <color rgb="FF1F4E79"/>
      <sz val="16"/>
    </font>
    <font>
      <name val="Calibri"/>
      <family val="2"/>
      <color rgb="FF44546A"/>
      <sz val="10"/>
    </font>
    <font>
      <name val="Calibri"/>
      <family val="2"/>
      <b val="1"/>
      <sz val="9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b val="1"/>
      <color rgb="FF1F4E79"/>
      <sz val="20"/>
    </font>
    <font>
      <name val="Calibri"/>
      <family val="2"/>
      <color theme="1"/>
      <sz val="20"/>
      <scheme val="minor"/>
    </font>
    <font>
      <name val="Calibri"/>
      <family val="2"/>
      <color rgb="FF808080"/>
      <sz val="11"/>
    </font>
  </fonts>
  <fills count="10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1F4E79"/>
      </patternFill>
    </fill>
    <fill>
      <patternFill patternType="solid">
        <fgColor rgb="FFF5F8FC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D9D9D9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indexed="64"/>
      </left>
      <right style="thin">
        <color rgb="FFB4C6E7"/>
      </right>
      <top style="medium">
        <color indexed="64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indexed="64"/>
      </top>
      <bottom style="thin">
        <color rgb="FFB4C6E7"/>
      </bottom>
      <diagonal/>
    </border>
    <border>
      <left style="medium">
        <color indexed="64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indexed="64"/>
      </left>
      <right style="thin">
        <color rgb="FFB4C6E7"/>
      </right>
      <top style="thin">
        <color rgb="FFB4C6E7"/>
      </top>
      <bottom style="medium">
        <color indexed="64"/>
      </bottom>
      <diagonal/>
    </border>
    <border>
      <left style="thin">
        <color rgb="FFB4C6E7"/>
      </left>
      <right/>
      <top style="thin">
        <color rgb="FFB4C6E7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4C6E7"/>
      </left>
      <right style="medium">
        <color indexed="64"/>
      </right>
      <top style="medium">
        <color indexed="64"/>
      </top>
      <bottom style="thin">
        <color rgb="FFB4C6E7"/>
      </bottom>
      <diagonal/>
    </border>
    <border>
      <left style="thin">
        <color rgb="FFB4C6E7"/>
      </left>
      <right style="medium">
        <color indexed="64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medium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indexed="64"/>
      </bottom>
      <diagonal/>
    </border>
    <border>
      <left style="thin">
        <color rgb="FFB4C6E7"/>
      </left>
      <right style="medium">
        <color indexed="64"/>
      </right>
      <top style="thin">
        <color rgb="FFB4C6E7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B4C6E7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B4C6E7"/>
      </left>
      <right style="medium">
        <color indexed="64"/>
      </right>
      <top style="thin">
        <color rgb="FFB4C6E7"/>
      </top>
      <bottom/>
      <diagonal/>
    </border>
    <border>
      <left style="medium">
        <color indexed="64"/>
      </left>
      <right style="thin">
        <color rgb="FFB4C6E7"/>
      </right>
      <top style="thin">
        <color rgb="FFB4C6E7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B4C6E7"/>
      </left>
      <right/>
      <top style="medium">
        <color indexed="64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4" fillId="2" borderId="4" applyAlignment="1" pivotButton="0" quotePrefix="0" xfId="0">
      <alignment vertical="center"/>
    </xf>
    <xf numFmtId="0" fontId="0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vertical="center"/>
    </xf>
    <xf numFmtId="0" fontId="4" fillId="2" borderId="7" applyAlignment="1" pivotButton="0" quotePrefix="0" xfId="0">
      <alignment vertical="center"/>
    </xf>
    <xf numFmtId="0" fontId="0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8" fillId="2" borderId="5" applyAlignment="1" pivotButton="0" quotePrefix="0" xfId="0">
      <alignment vertical="center"/>
    </xf>
    <xf numFmtId="0" fontId="8" fillId="2" borderId="1" applyAlignment="1" pivotButton="0" quotePrefix="0" xfId="0">
      <alignment vertical="center"/>
    </xf>
    <xf numFmtId="0" fontId="8" fillId="2" borderId="13" applyAlignment="1" pivotButton="0" quotePrefix="0" xfId="0">
      <alignment vertical="center"/>
    </xf>
    <xf numFmtId="0" fontId="8" fillId="2" borderId="4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0" fontId="8" fillId="2" borderId="7" applyAlignment="1" pivotButton="0" quotePrefix="0" xfId="0">
      <alignment vertical="center"/>
    </xf>
    <xf numFmtId="0" fontId="0" fillId="0" borderId="8" applyAlignment="1" pivotButton="0" quotePrefix="0" xfId="0">
      <alignment vertical="center" wrapText="1"/>
    </xf>
    <xf numFmtId="0" fontId="0" fillId="0" borderId="10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3" fontId="0" fillId="0" borderId="1" applyAlignment="1" pivotButton="0" quotePrefix="0" xfId="0">
      <alignment horizontal="center" vertical="top" wrapText="1"/>
    </xf>
    <xf numFmtId="3" fontId="0" fillId="4" borderId="1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4" fillId="2" borderId="6" applyAlignment="1" pivotButton="0" quotePrefix="0" xfId="0">
      <alignment vertical="center" wrapText="1"/>
    </xf>
    <xf numFmtId="0" fontId="4" fillId="2" borderId="7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7" fillId="5" borderId="1" applyAlignment="1" pivotButton="0" quotePrefix="0" xfId="0">
      <alignment horizontal="center" vertical="center" wrapText="1"/>
    </xf>
    <xf numFmtId="0" fontId="4" fillId="2" borderId="4" applyAlignment="1" pivotButton="0" quotePrefix="0" xfId="0">
      <alignment vertical="center" wrapText="1"/>
    </xf>
    <xf numFmtId="165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8" fillId="2" borderId="20" applyAlignment="1" pivotButton="0" quotePrefix="0" xfId="0">
      <alignment vertical="center" wrapText="1"/>
    </xf>
    <xf numFmtId="3" fontId="10" fillId="6" borderId="10" applyAlignment="1" pivotButton="0" quotePrefix="0" xfId="0">
      <alignment horizontal="center" vertical="center"/>
    </xf>
    <xf numFmtId="165" fontId="0" fillId="0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3" fontId="11" fillId="8" borderId="1" applyAlignment="1" pivotButton="0" quotePrefix="0" xfId="0">
      <alignment horizontal="center" vertical="top" wrapText="1"/>
    </xf>
    <xf numFmtId="3" fontId="11" fillId="8" borderId="1" applyAlignment="1" pivotButton="0" quotePrefix="0" xfId="0">
      <alignment vertical="top" wrapText="1"/>
    </xf>
    <xf numFmtId="164" fontId="11" fillId="8" borderId="1" applyAlignment="1" pivotButton="0" quotePrefix="0" xfId="0">
      <alignment vertical="top" wrapText="1"/>
    </xf>
    <xf numFmtId="165" fontId="11" fillId="8" borderId="1" applyAlignment="1" pivotButton="0" quotePrefix="0" xfId="0">
      <alignment vertical="top" wrapText="1"/>
    </xf>
    <xf numFmtId="0" fontId="0" fillId="0" borderId="3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5" fillId="3" borderId="21" applyAlignment="1" pivotButton="0" quotePrefix="0" xfId="0">
      <alignment horizontal="left" vertical="center"/>
    </xf>
    <xf numFmtId="0" fontId="0" fillId="0" borderId="19" pivotButton="0" quotePrefix="0" xfId="0"/>
    <xf numFmtId="166" fontId="0" fillId="0" borderId="9" applyAlignment="1" pivotButton="0" quotePrefix="0" xfId="0">
      <alignment horizontal="center"/>
    </xf>
    <xf numFmtId="0" fontId="0" fillId="9" borderId="1" pivotButton="0" quotePrefix="0" xfId="0"/>
    <xf numFmtId="0" fontId="0" fillId="9" borderId="11" pivotButton="0" quotePrefix="0" xfId="0"/>
    <xf numFmtId="0" fontId="5" fillId="3" borderId="2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0" pivotButton="0" quotePrefix="0" xfId="0"/>
    <xf numFmtId="0" fontId="0" fillId="9" borderId="15" pivotButton="0" quotePrefix="0" xfId="0"/>
    <xf numFmtId="0" fontId="0" fillId="9" borderId="0" pivotButton="0" quotePrefix="0" xfId="0"/>
    <xf numFmtId="165" fontId="6" fillId="0" borderId="13" applyAlignment="1" pivotButton="0" quotePrefix="0" xfId="0">
      <alignment horizontal="center" vertical="center"/>
    </xf>
    <xf numFmtId="165" fontId="6" fillId="0" borderId="14" applyAlignment="1" pivotButton="0" quotePrefix="0" xfId="0">
      <alignment horizontal="center" vertical="center"/>
    </xf>
    <xf numFmtId="0" fontId="4" fillId="2" borderId="24" applyAlignment="1" pivotButton="0" quotePrefix="0" xfId="0">
      <alignment vertical="center"/>
    </xf>
    <xf numFmtId="165" fontId="0" fillId="7" borderId="1" applyAlignment="1" pivotButton="0" quotePrefix="0" xfId="0">
      <alignment horizontal="center" vertical="center"/>
    </xf>
    <xf numFmtId="166" fontId="0" fillId="7" borderId="23" applyAlignment="1" pivotButton="0" quotePrefix="0" xfId="0">
      <alignment horizontal="center"/>
    </xf>
    <xf numFmtId="166" fontId="0" fillId="7" borderId="16" applyAlignment="1" pivotButton="0" quotePrefix="0" xfId="0">
      <alignment horizontal="center"/>
    </xf>
    <xf numFmtId="165" fontId="10" fillId="7" borderId="18" applyAlignment="1" pivotButton="0" quotePrefix="0" xfId="0">
      <alignment horizontal="center"/>
    </xf>
    <xf numFmtId="0" fontId="5" fillId="3" borderId="6" applyAlignment="1" pivotButton="0" quotePrefix="0" xfId="0">
      <alignment horizontal="left" vertical="center"/>
    </xf>
    <xf numFmtId="0" fontId="0" fillId="0" borderId="2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tabSelected="1" workbookViewId="0">
      <pane ySplit="15" topLeftCell="A16" activePane="bottomLeft" state="frozen"/>
      <selection pane="bottomLeft" activeCell="K17" sqref="K17"/>
    </sheetView>
  </sheetViews>
  <sheetFormatPr baseColWidth="8" defaultRowHeight="14.4"/>
  <cols>
    <col width="17.109375" customWidth="1" style="66" min="1" max="1"/>
    <col width="24" customWidth="1" style="66" min="2" max="3"/>
    <col width="50" customWidth="1" style="66" min="4" max="4"/>
    <col width="9.88671875" customWidth="1" style="56" min="5" max="5"/>
    <col width="16" customWidth="1" style="66" min="6" max="6"/>
    <col width="50" customWidth="1" style="66" min="7" max="7"/>
    <col width="20" customWidth="1" style="66" min="8" max="8"/>
    <col width="18" customWidth="1" style="66" min="9" max="10"/>
    <col width="20" customWidth="1" style="66" min="11" max="11"/>
    <col width="30" customWidth="1" style="66" min="12" max="12"/>
  </cols>
  <sheetData>
    <row r="1" ht="22.05" customHeight="1" s="66">
      <c r="A1" s="31" t="inlineStr">
        <is>
          <t>GlinTech</t>
        </is>
      </c>
      <c r="D1" s="58" t="inlineStr">
        <is>
          <t>Customer BOM Cost Review</t>
        </is>
      </c>
    </row>
    <row r="2" ht="18" customHeight="1" s="66">
      <c r="A2" s="1" t="inlineStr">
        <is>
          <t>BOM Cost Review</t>
        </is>
      </c>
      <c r="D2" s="55" t="inlineStr">
        <is>
          <t>Official reference BOM cost review (USD)</t>
        </is>
      </c>
    </row>
    <row r="3" ht="6" customHeight="1" s="66" thickBot="1"/>
    <row r="4">
      <c r="A4" s="24" t="inlineStr">
        <is>
          <t>Customer</t>
        </is>
      </c>
      <c r="B4" s="15" t="inlineStr">
        <is>
          <t>BeeHero</t>
        </is>
      </c>
      <c r="C4" s="21" t="inlineStr">
        <is>
          <t>Project</t>
        </is>
      </c>
      <c r="D4" s="28" t="inlineStr">
        <is>
          <t>ISR</t>
        </is>
      </c>
      <c r="E4" s="34" t="n"/>
      <c r="F4" s="14" t="inlineStr">
        <is>
          <t>Project Code</t>
        </is>
      </c>
      <c r="G4" s="18" t="inlineStr">
        <is>
          <t>BHR-000</t>
        </is>
      </c>
    </row>
    <row r="5">
      <c r="A5" s="25" t="inlineStr">
        <is>
          <t>BOM Version</t>
        </is>
      </c>
      <c r="B5" s="3" t="inlineStr">
        <is>
          <t>R01-2</t>
        </is>
      </c>
      <c r="C5" s="22" t="inlineStr">
        <is>
          <t>Revision</t>
        </is>
      </c>
      <c r="D5" s="29" t="inlineStr">
        <is>
          <t>R01</t>
        </is>
      </c>
      <c r="F5" s="16" t="inlineStr">
        <is>
          <t>Doc Number</t>
        </is>
      </c>
      <c r="G5" s="19" t="inlineStr">
        <is>
          <t>BHR001-BOM-002-R01</t>
        </is>
      </c>
    </row>
    <row r="6" ht="15" customHeight="1" s="66" thickBot="1">
      <c r="A6" s="26" t="inlineStr">
        <is>
          <t>Board Name</t>
        </is>
      </c>
      <c r="B6" s="27" t="inlineStr">
        <is>
          <t>BeeHero PRS board</t>
        </is>
      </c>
      <c r="C6" s="23" t="inlineStr">
        <is>
          <t>Build Qty / Assemblies</t>
        </is>
      </c>
      <c r="D6" s="30" t="n">
        <v>100</v>
      </c>
      <c r="F6" s="17" t="inlineStr">
        <is>
          <t>Export Date</t>
        </is>
      </c>
      <c r="G6" s="20" t="inlineStr">
        <is>
          <t>2026-06-16</t>
        </is>
      </c>
    </row>
    <row r="7">
      <c r="A7" s="35" t="n"/>
      <c r="G7" s="36" t="n"/>
    </row>
    <row r="8" ht="22.05" customHeight="1" s="66" thickBot="1">
      <c r="A8" s="76" t="inlineStr">
        <is>
          <t>Official Price Summary</t>
        </is>
      </c>
      <c r="B8" s="77" t="n"/>
      <c r="C8" s="77" t="n"/>
      <c r="D8" s="77" t="n"/>
      <c r="E8" s="54" t="n"/>
      <c r="F8" s="59" t="n"/>
      <c r="G8" s="60" t="n"/>
    </row>
    <row r="9" ht="27.6" customHeight="1" s="66">
      <c r="A9" s="46" t="inlineStr">
        <is>
          <t>eBOM Cost
Components Total</t>
        </is>
      </c>
      <c r="B9" s="61">
        <f>SUM(K16:K150)</f>
        <v/>
      </c>
      <c r="C9" s="71" t="inlineStr">
        <is>
          <t>Shipping Cost</t>
        </is>
      </c>
      <c r="D9" s="73" t="n"/>
      <c r="F9" s="42" t="inlineStr">
        <is>
          <t>Assemblies / Build Qty</t>
        </is>
      </c>
      <c r="G9" s="47" t="n">
        <v>100</v>
      </c>
    </row>
    <row r="10" ht="24.6" customHeight="1" s="66" thickBot="1">
      <c r="A10" s="37" t="inlineStr">
        <is>
          <t>PCB Unit Cost</t>
        </is>
      </c>
      <c r="B10" s="72" t="n"/>
      <c r="C10" s="2" t="inlineStr">
        <is>
          <t>Other Cost</t>
        </is>
      </c>
      <c r="D10" s="74" t="n"/>
      <c r="E10" s="43" t="n"/>
      <c r="F10" s="38" t="inlineStr">
        <is>
          <t>Unit Price per PCB Assembly</t>
        </is>
      </c>
      <c r="G10" s="75">
        <f>B13</f>
        <v/>
      </c>
    </row>
    <row r="11">
      <c r="A11" s="16" t="inlineStr">
        <is>
          <t>PCBA Unit Cost</t>
        </is>
      </c>
      <c r="B11" s="72" t="n"/>
      <c r="D11" s="36" t="n"/>
      <c r="E11" s="43" t="n"/>
      <c r="G11" s="36" t="n"/>
    </row>
    <row r="12" ht="9.6" customHeight="1" s="66">
      <c r="A12" s="67" t="n"/>
      <c r="B12" s="68" t="n"/>
      <c r="C12" s="62" t="n"/>
      <c r="D12" s="63" t="n"/>
      <c r="E12" s="44" t="n"/>
      <c r="G12" s="36" t="n"/>
    </row>
    <row r="13" ht="24.6" customHeight="1" s="66" thickBot="1">
      <c r="A13" s="38" t="inlineStr">
        <is>
          <t>Total Assembled Board  Price</t>
        </is>
      </c>
      <c r="B13" s="69">
        <f>B9/G9+B10+B11</f>
        <v/>
      </c>
      <c r="C13" s="38" t="inlineStr">
        <is>
          <t>Total Batch Price</t>
        </is>
      </c>
      <c r="D13" s="70">
        <f>D9+IFERROR(B9*G9,0)+IFERROR(B10*G9,0)+IFERROR(D10,0)+IFERROR(B11*G9,0)</f>
        <v/>
      </c>
      <c r="E13" s="45" t="n"/>
      <c r="F13" s="39" t="n"/>
      <c r="G13" s="40" t="n"/>
    </row>
    <row r="15" ht="30" customHeight="1" s="66">
      <c r="A15" s="4" t="inlineStr">
        <is>
          <t>Line</t>
        </is>
      </c>
      <c r="B15" s="4" t="inlineStr">
        <is>
          <t>MPN</t>
        </is>
      </c>
      <c r="C15" s="4" t="inlineStr">
        <is>
          <t>Manufacturer</t>
        </is>
      </c>
      <c r="D15" s="4" t="inlineStr">
        <is>
          <t>Description</t>
        </is>
      </c>
      <c r="E15" s="4" t="inlineStr">
        <is>
          <t>Qty per Assembly</t>
        </is>
      </c>
      <c r="F15" s="4" t="inlineStr">
        <is>
          <t>Required Qty</t>
        </is>
      </c>
      <c r="G15" s="4" t="inlineStr">
        <is>
          <t>Reference Designators</t>
        </is>
      </c>
      <c r="H15" s="4" t="inlineStr">
        <is>
          <t>Footprint</t>
        </is>
      </c>
      <c r="I15" s="4" t="inlineStr">
        <is>
          <t>Source</t>
        </is>
      </c>
      <c r="J15" s="4" t="inlineStr">
        <is>
          <t>Official Unit Price</t>
        </is>
      </c>
      <c r="K15" s="4" t="inlineStr">
        <is>
          <t>Official Extended Price</t>
        </is>
      </c>
      <c r="L15" s="41" t="inlineStr">
        <is>
          <t>Customer Notes</t>
        </is>
      </c>
    </row>
    <row r="16" ht="28.8" customHeight="1" s="66">
      <c r="A16" s="5" t="n">
        <v>1</v>
      </c>
      <c r="B16" s="5" t="inlineStr">
        <is>
          <t>GRM155R71H104ME14D</t>
        </is>
      </c>
      <c r="C16" s="5" t="inlineStr">
        <is>
          <t>Murata</t>
        </is>
      </c>
      <c r="D16" s="5" t="inlineStr">
        <is>
          <t>CAP CER 0.1UF 50V X7R 0402</t>
        </is>
      </c>
      <c r="E16" s="32" t="n">
        <v>22</v>
      </c>
      <c r="F16" s="6" t="n">
        <v>2200</v>
      </c>
      <c r="G16" s="5" t="inlineStr">
        <is>
          <t>C1, C2, C4, C5, C6, C7, C8, C24, C25, C32, C34, C36, C37, C39, C43, C44, C46, C47, C49, C50, C51, C67</t>
        </is>
      </c>
      <c r="H16" s="5" t="inlineStr">
        <is>
          <t>B_Cap_0402_KEM</t>
        </is>
      </c>
      <c r="I16" s="5" t="inlineStr">
        <is>
          <t>TBD</t>
        </is>
      </c>
      <c r="J16" s="7" t="n"/>
      <c r="K16" s="48">
        <f>IF(J16="","",F16*J16)</f>
        <v/>
      </c>
      <c r="L16" s="5" t="n"/>
    </row>
    <row r="17">
      <c r="A17" s="5" t="n">
        <v>2</v>
      </c>
      <c r="B17" s="5" t="inlineStr">
        <is>
          <t>GRM155R70J105MA12D</t>
        </is>
      </c>
      <c r="C17" s="5" t="inlineStr">
        <is>
          <t>Murata</t>
        </is>
      </c>
      <c r="D17" s="5" t="inlineStr">
        <is>
          <t>CAP CER 1UF 6.3V X7R 0402</t>
        </is>
      </c>
      <c r="E17" s="32" t="n">
        <v>1</v>
      </c>
      <c r="F17" s="6" t="n">
        <v>100</v>
      </c>
      <c r="G17" s="5" t="inlineStr">
        <is>
          <t>C12</t>
        </is>
      </c>
      <c r="H17" s="5" t="inlineStr">
        <is>
          <t>B_Cap_0402_KEM</t>
        </is>
      </c>
      <c r="I17" s="5" t="inlineStr">
        <is>
          <t>TBD</t>
        </is>
      </c>
      <c r="J17" s="7" t="n"/>
      <c r="K17" s="48" t="n"/>
      <c r="L17" s="5" t="n"/>
    </row>
    <row r="18">
      <c r="A18" s="5" t="n">
        <v>3</v>
      </c>
      <c r="B18" s="5" t="inlineStr">
        <is>
          <t>CL05A475MP5NRNC</t>
        </is>
      </c>
      <c r="C18" s="5" t="inlineStr">
        <is>
          <t>SAMSUNG</t>
        </is>
      </c>
      <c r="D18" s="5" t="inlineStr">
        <is>
          <t>CAP CER 4.7UF 10V X5R 0402</t>
        </is>
      </c>
      <c r="E18" s="32" t="n">
        <v>2</v>
      </c>
      <c r="F18" s="6" t="n">
        <v>200</v>
      </c>
      <c r="G18" s="5" t="inlineStr">
        <is>
          <t>C13, C38</t>
        </is>
      </c>
      <c r="H18" s="5" t="inlineStr">
        <is>
          <t>B_Cap_0402_KEM</t>
        </is>
      </c>
      <c r="I18" s="5" t="inlineStr">
        <is>
          <t>TBD</t>
        </is>
      </c>
      <c r="J18" s="7" t="n"/>
      <c r="K18" s="48">
        <f>IF(J18="","",F18*J18)</f>
        <v/>
      </c>
      <c r="L18" s="5" t="n"/>
    </row>
    <row r="19" ht="28.8" customHeight="1" s="66">
      <c r="A19" s="5" t="n">
        <v>4</v>
      </c>
      <c r="B19" s="5" t="inlineStr">
        <is>
          <t>GRM033R61A225KE47D</t>
        </is>
      </c>
      <c r="C19" s="5" t="inlineStr">
        <is>
          <t>Murata</t>
        </is>
      </c>
      <c r="D19" s="5" t="inlineStr">
        <is>
          <t>0201 2.2 uF 10 V ±10% Tolerance X5R Multilayer Ceramic Capacitor</t>
        </is>
      </c>
      <c r="E19" s="32" t="n">
        <v>8</v>
      </c>
      <c r="F19" s="6" t="n">
        <v>800</v>
      </c>
      <c r="G19" s="5" t="inlineStr">
        <is>
          <t>C14, C15, C62, C63, C64, C65, C71, C72</t>
        </is>
      </c>
      <c r="H19" s="5" t="inlineStr">
        <is>
          <t>B_Cap_0201_KEM</t>
        </is>
      </c>
      <c r="I19" s="5" t="inlineStr">
        <is>
          <t>TBD</t>
        </is>
      </c>
      <c r="J19" s="7" t="n"/>
      <c r="K19" s="48">
        <f>IF(J19="","",F19*J19)</f>
        <v/>
      </c>
      <c r="L19" s="5" t="n"/>
    </row>
    <row r="20">
      <c r="A20" s="49" t="n">
        <v>5</v>
      </c>
      <c r="B20" s="49" t="inlineStr">
        <is>
          <t>CL05C080CB5NNNC</t>
        </is>
      </c>
      <c r="C20" s="49" t="n"/>
      <c r="D20" s="49" t="inlineStr">
        <is>
          <t>CAP CER 8PF 50V C0G/NP0 0402</t>
        </is>
      </c>
      <c r="E20" s="50" t="n">
        <v>4</v>
      </c>
      <c r="F20" s="51" t="n">
        <v>0</v>
      </c>
      <c r="G20" s="49" t="inlineStr">
        <is>
          <t>C16, C19, C41, C42</t>
        </is>
      </c>
      <c r="H20" s="49" t="inlineStr">
        <is>
          <t>B_Cap_0402_KEM</t>
        </is>
      </c>
      <c r="I20" s="49" t="inlineStr">
        <is>
          <t>DNP</t>
        </is>
      </c>
      <c r="J20" s="52" t="n"/>
      <c r="K20" s="53" t="n">
        <v>0</v>
      </c>
      <c r="L20" s="49" t="inlineStr">
        <is>
          <t>DNP / Not populated</t>
        </is>
      </c>
    </row>
    <row r="21">
      <c r="A21" s="5" t="n">
        <v>6</v>
      </c>
      <c r="B21" s="5" t="inlineStr">
        <is>
          <t>GRM0335C1H180JA01D</t>
        </is>
      </c>
      <c r="C21" s="5" t="inlineStr">
        <is>
          <t>Murata</t>
        </is>
      </c>
      <c r="D21" s="5" t="inlineStr">
        <is>
          <t>CAP CER 18PF 50V C0G/NP0 0201</t>
        </is>
      </c>
      <c r="E21" s="32" t="n">
        <v>4</v>
      </c>
      <c r="F21" s="6" t="n">
        <v>400</v>
      </c>
      <c r="G21" s="5" t="inlineStr">
        <is>
          <t>C17, C23, C26, C27</t>
        </is>
      </c>
      <c r="H21" s="5" t="inlineStr">
        <is>
          <t>B_Cap_0201_KEM</t>
        </is>
      </c>
      <c r="I21" s="5" t="inlineStr">
        <is>
          <t>TBD</t>
        </is>
      </c>
      <c r="J21" s="7" t="n"/>
      <c r="K21" s="48">
        <f>IF(J21="","",F21*J21)</f>
        <v/>
      </c>
      <c r="L21" s="5" t="n"/>
    </row>
    <row r="22" ht="28.8" customHeight="1" s="66">
      <c r="A22" s="5" t="n">
        <v>7</v>
      </c>
      <c r="B22" s="5" t="inlineStr">
        <is>
          <t>TMK063CG121JTHF</t>
        </is>
      </c>
      <c r="C22" s="5" t="inlineStr">
        <is>
          <t>TAIYO</t>
        </is>
      </c>
      <c r="D22" s="5" t="inlineStr">
        <is>
          <t>Capacitor, ceramic, 0201, 25V, c0G, 120Pf, 5% Rohs Compliant: Yes</t>
        </is>
      </c>
      <c r="E22" s="32" t="n">
        <v>1</v>
      </c>
      <c r="F22" s="6" t="n">
        <v>100</v>
      </c>
      <c r="G22" s="5" t="inlineStr">
        <is>
          <t>C18</t>
        </is>
      </c>
      <c r="H22" s="5" t="inlineStr">
        <is>
          <t>B_Cap_0201_KEM</t>
        </is>
      </c>
      <c r="I22" s="5" t="inlineStr">
        <is>
          <t>TBD</t>
        </is>
      </c>
      <c r="J22" s="7" t="n"/>
      <c r="K22" s="48">
        <f>IF(J22="","",F22*J22)</f>
        <v/>
      </c>
      <c r="L22" s="5" t="n"/>
    </row>
    <row r="23" ht="43.2" customHeight="1" s="66">
      <c r="A23" s="5" t="n">
        <v>8</v>
      </c>
      <c r="B23" s="5" t="inlineStr">
        <is>
          <t>GRM0335C1E2R0WA01D</t>
        </is>
      </c>
      <c r="C23" s="5" t="inlineStr">
        <is>
          <t>Murata</t>
        </is>
      </c>
      <c r="D23" s="5" t="inlineStr">
        <is>
          <t>Ceramic Capacitor, Multilayer, Ceramic, 25V, 2.5% +Tol, 2.5% -Tol, C0G, 30ppm/Cel TC, 2e-06uF, Surface Mount, 0201</t>
        </is>
      </c>
      <c r="E23" s="32" t="n">
        <v>1</v>
      </c>
      <c r="F23" s="6" t="n">
        <v>100</v>
      </c>
      <c r="G23" s="5" t="inlineStr">
        <is>
          <t>C20</t>
        </is>
      </c>
      <c r="H23" s="5" t="inlineStr">
        <is>
          <t>B_Cap_0201_KEM</t>
        </is>
      </c>
      <c r="I23" s="5" t="inlineStr">
        <is>
          <t>TBD</t>
        </is>
      </c>
      <c r="J23" s="7" t="n"/>
      <c r="K23" s="48">
        <f>IF(J23="","",F23*J23)</f>
        <v/>
      </c>
      <c r="L23" s="5" t="n"/>
    </row>
    <row r="24" ht="28.8" customHeight="1" s="66">
      <c r="A24" s="5" t="n">
        <v>9</v>
      </c>
      <c r="B24" s="5" t="inlineStr">
        <is>
          <t>GRM0335C1H1R6WA01D</t>
        </is>
      </c>
      <c r="C24" s="5" t="inlineStr">
        <is>
          <t>Murata</t>
        </is>
      </c>
      <c r="D24" s="5" t="inlineStr">
        <is>
          <t>Cap Ceramic 1.6pF 50V C0G 0.05pF Pad SMD 0201 125C T/R</t>
        </is>
      </c>
      <c r="E24" s="32" t="n">
        <v>1</v>
      </c>
      <c r="F24" s="6" t="n">
        <v>100</v>
      </c>
      <c r="G24" s="5" t="inlineStr">
        <is>
          <t>C21</t>
        </is>
      </c>
      <c r="H24" s="5" t="inlineStr">
        <is>
          <t>B_Cap_0201_KEM</t>
        </is>
      </c>
      <c r="I24" s="5" t="inlineStr">
        <is>
          <t>TBD</t>
        </is>
      </c>
      <c r="J24" s="7" t="n"/>
      <c r="K24" s="48">
        <f>IF(J24="","",F24*J24)</f>
        <v/>
      </c>
      <c r="L24" s="5" t="n"/>
    </row>
    <row r="25">
      <c r="A25" s="49" t="n">
        <v>10</v>
      </c>
      <c r="B25" s="49" t="inlineStr">
        <is>
          <t>GRM0335C1H180JA01D</t>
        </is>
      </c>
      <c r="C25" s="49" t="n"/>
      <c r="D25" s="49" t="inlineStr">
        <is>
          <t>CAP CER 18PF 50V C0G/NP0 0201</t>
        </is>
      </c>
      <c r="E25" s="50" t="n">
        <v>5</v>
      </c>
      <c r="F25" s="51" t="n">
        <v>0</v>
      </c>
      <c r="G25" s="49" t="inlineStr">
        <is>
          <t>C22, C28, C29, C30, C31</t>
        </is>
      </c>
      <c r="H25" s="49" t="inlineStr">
        <is>
          <t>B_Cap_0201_KEM</t>
        </is>
      </c>
      <c r="I25" s="49" t="inlineStr">
        <is>
          <t>DNP</t>
        </is>
      </c>
      <c r="J25" s="52" t="n"/>
      <c r="K25" s="53" t="n">
        <v>0</v>
      </c>
      <c r="L25" s="49" t="inlineStr">
        <is>
          <t>DNP / Not populated</t>
        </is>
      </c>
    </row>
    <row r="26">
      <c r="A26" s="5" t="n">
        <v>11</v>
      </c>
      <c r="B26" s="5" t="inlineStr">
        <is>
          <t>CL05A106MP5NUNC</t>
        </is>
      </c>
      <c r="C26" s="5" t="inlineStr">
        <is>
          <t>SAMSUNG</t>
        </is>
      </c>
      <c r="D26" s="5" t="inlineStr">
        <is>
          <t>CAP CER 10UF 10V X5R 0402</t>
        </is>
      </c>
      <c r="E26" s="32" t="n">
        <v>7</v>
      </c>
      <c r="F26" s="6" t="n">
        <v>700</v>
      </c>
      <c r="G26" s="5" t="inlineStr">
        <is>
          <t>C3, C9, C10, C11, C40, C45, C80</t>
        </is>
      </c>
      <c r="H26" s="5" t="inlineStr">
        <is>
          <t>B_Cap_0402_KEM</t>
        </is>
      </c>
      <c r="I26" s="5" t="inlineStr">
        <is>
          <t>TBD</t>
        </is>
      </c>
      <c r="J26" s="7" t="n"/>
      <c r="K26" s="48">
        <f>IF(J26="","",F26*J26)</f>
        <v/>
      </c>
      <c r="L26" s="5" t="n"/>
    </row>
    <row r="27">
      <c r="A27" s="5" t="n">
        <v>12</v>
      </c>
      <c r="B27" s="5" t="inlineStr">
        <is>
          <t>EMK105BJ105KV-F</t>
        </is>
      </c>
      <c r="C27" s="5" t="inlineStr">
        <is>
          <t>TAIYO</t>
        </is>
      </c>
      <c r="D27" s="5" t="inlineStr">
        <is>
          <t>CAP CER 1UF 16V X5R 0402</t>
        </is>
      </c>
      <c r="E27" s="32" t="n">
        <v>3</v>
      </c>
      <c r="F27" s="6" t="n">
        <v>300</v>
      </c>
      <c r="G27" s="5" t="inlineStr">
        <is>
          <t>C33, C35, C48</t>
        </is>
      </c>
      <c r="H27" s="5" t="inlineStr">
        <is>
          <t>B_Cap_0402_KEM</t>
        </is>
      </c>
      <c r="I27" s="5" t="inlineStr">
        <is>
          <t>TBD</t>
        </is>
      </c>
      <c r="J27" s="7" t="n"/>
      <c r="K27" s="48">
        <f>IF(J27="","",F27*J27)</f>
        <v/>
      </c>
      <c r="L27" s="5" t="n"/>
    </row>
    <row r="28" ht="28.8" customHeight="1" s="66">
      <c r="A28" s="49" t="n">
        <v>13</v>
      </c>
      <c r="B28" s="49" t="inlineStr">
        <is>
          <t>GRM0335C1H4R0BA01D</t>
        </is>
      </c>
      <c r="C28" s="49" t="n"/>
      <c r="D28" s="49" t="inlineStr">
        <is>
          <t>GRM Series 0201 4 Ohm 50 V ±0.1 pF Tolerance C0G Multilayer Ceramic Capacitor</t>
        </is>
      </c>
      <c r="E28" s="50" t="n">
        <v>2</v>
      </c>
      <c r="F28" s="51" t="n">
        <v>0</v>
      </c>
      <c r="G28" s="49" t="inlineStr">
        <is>
          <t>C52, C53</t>
        </is>
      </c>
      <c r="H28" s="49" t="inlineStr">
        <is>
          <t>B_Cap_0201_KEM</t>
        </is>
      </c>
      <c r="I28" s="49" t="inlineStr">
        <is>
          <t>DNP</t>
        </is>
      </c>
      <c r="J28" s="52" t="n"/>
      <c r="K28" s="53" t="n">
        <v>0</v>
      </c>
      <c r="L28" s="49" t="inlineStr">
        <is>
          <t>DNP / Not populated</t>
        </is>
      </c>
    </row>
    <row r="29">
      <c r="A29" s="49" t="n">
        <v>14</v>
      </c>
      <c r="B29" s="49" t="inlineStr">
        <is>
          <t>GRM155R71H472KA01D</t>
        </is>
      </c>
      <c r="C29" s="49" t="n"/>
      <c r="D29" s="49" t="inlineStr">
        <is>
          <t>CAP CER 4700PF 50V X7R 0402</t>
        </is>
      </c>
      <c r="E29" s="50" t="n">
        <v>1</v>
      </c>
      <c r="F29" s="51" t="n">
        <v>0</v>
      </c>
      <c r="G29" s="49" t="inlineStr">
        <is>
          <t>C54</t>
        </is>
      </c>
      <c r="H29" s="49" t="inlineStr">
        <is>
          <t>B_Cap_0402_KEM</t>
        </is>
      </c>
      <c r="I29" s="49" t="inlineStr">
        <is>
          <t>DNP</t>
        </is>
      </c>
      <c r="J29" s="52" t="n"/>
      <c r="K29" s="53" t="n">
        <v>0</v>
      </c>
      <c r="L29" s="49" t="inlineStr">
        <is>
          <t>DNP / Not populated</t>
        </is>
      </c>
    </row>
    <row r="30" ht="28.8" customHeight="1" s="66">
      <c r="A30" s="5" t="n">
        <v>15</v>
      </c>
      <c r="B30" s="5" t="inlineStr">
        <is>
          <t>GRM0335C1H100FA01D</t>
        </is>
      </c>
      <c r="C30" s="5" t="inlineStr">
        <is>
          <t>Murata</t>
        </is>
      </c>
      <c r="D30" s="5" t="inlineStr">
        <is>
          <t>0201 10 pF 50 V ±1% Tolerance C0G SMT Multilayer Ceramic Capacitor</t>
        </is>
      </c>
      <c r="E30" s="32" t="n">
        <v>2</v>
      </c>
      <c r="F30" s="6" t="n">
        <v>200</v>
      </c>
      <c r="G30" s="5" t="inlineStr">
        <is>
          <t>C55, C57</t>
        </is>
      </c>
      <c r="H30" s="5" t="inlineStr">
        <is>
          <t>B_Cap_0201_KEM</t>
        </is>
      </c>
      <c r="I30" s="5" t="inlineStr">
        <is>
          <t>TBD</t>
        </is>
      </c>
      <c r="J30" s="7" t="n"/>
      <c r="K30" s="48">
        <f>IF(J30="","",F30*J30)</f>
        <v/>
      </c>
      <c r="L30" s="5" t="n"/>
    </row>
    <row r="31" ht="28.8" customHeight="1" s="66">
      <c r="A31" s="5" t="n">
        <v>16</v>
      </c>
      <c r="B31" s="5" t="inlineStr">
        <is>
          <t>GRM21BR61E226ME44L</t>
        </is>
      </c>
      <c r="C31" s="5" t="inlineStr">
        <is>
          <t>Murata</t>
        </is>
      </c>
      <c r="D31" s="5" t="inlineStr">
        <is>
          <t>CAP CER 22UF 25V X5R 0805</t>
        </is>
      </c>
      <c r="E31" s="32" t="n">
        <v>2</v>
      </c>
      <c r="F31" s="6" t="n">
        <v>200</v>
      </c>
      <c r="G31" s="5" t="inlineStr">
        <is>
          <t>C56, C70</t>
        </is>
      </c>
      <c r="H31" s="5" t="inlineStr">
        <is>
          <t>B_Cap_0805_KEM</t>
        </is>
      </c>
      <c r="I31" s="5" t="inlineStr">
        <is>
          <t>TBD</t>
        </is>
      </c>
      <c r="J31" s="7" t="n"/>
      <c r="K31" s="48">
        <f>IF(J31="","",F31*J31)</f>
        <v/>
      </c>
      <c r="L31" s="5" t="n"/>
    </row>
    <row r="32">
      <c r="A32" s="5" t="n">
        <v>17</v>
      </c>
      <c r="B32" s="5" t="inlineStr">
        <is>
          <t>GRM155R71A474KE01D</t>
        </is>
      </c>
      <c r="C32" s="5" t="inlineStr">
        <is>
          <t>Murata</t>
        </is>
      </c>
      <c r="D32" s="5" t="inlineStr">
        <is>
          <t>CAP CER 0.47UF 10V X7R 0402</t>
        </is>
      </c>
      <c r="E32" s="32" t="n">
        <v>1</v>
      </c>
      <c r="F32" s="6" t="n">
        <v>100</v>
      </c>
      <c r="G32" s="5" t="inlineStr">
        <is>
          <t>C58</t>
        </is>
      </c>
      <c r="H32" s="5" t="inlineStr">
        <is>
          <t>B_Cap_0402_KEM</t>
        </is>
      </c>
      <c r="I32" s="5" t="inlineStr">
        <is>
          <t>TBD</t>
        </is>
      </c>
      <c r="J32" s="7" t="n"/>
      <c r="K32" s="48">
        <f>IF(J32="","",F32*J32)</f>
        <v/>
      </c>
      <c r="L32" s="5" t="n"/>
    </row>
    <row r="33">
      <c r="A33" s="5" t="n">
        <v>18</v>
      </c>
      <c r="B33" s="5" t="inlineStr">
        <is>
          <t>AC0402KRX7R8BB471</t>
        </is>
      </c>
      <c r="C33" s="5" t="inlineStr">
        <is>
          <t>Yageo</t>
        </is>
      </c>
      <c r="D33" s="5" t="inlineStr">
        <is>
          <t>CAP CER 470PF 25V X7R 0402</t>
        </is>
      </c>
      <c r="E33" s="32" t="n">
        <v>1</v>
      </c>
      <c r="F33" s="6" t="n">
        <v>100</v>
      </c>
      <c r="G33" s="5" t="inlineStr">
        <is>
          <t>C59</t>
        </is>
      </c>
      <c r="H33" s="5" t="inlineStr">
        <is>
          <t>B_Cap_0402_KEM</t>
        </is>
      </c>
      <c r="I33" s="5" t="inlineStr">
        <is>
          <t>TBD</t>
        </is>
      </c>
      <c r="J33" s="7" t="n"/>
      <c r="K33" s="48">
        <f>IF(J33="","",F33*J33)</f>
        <v/>
      </c>
      <c r="L33" s="5" t="n"/>
    </row>
    <row r="34">
      <c r="A34" s="5" t="n">
        <v>19</v>
      </c>
      <c r="B34" s="5" t="inlineStr">
        <is>
          <t>CL03A105KP3NSNC</t>
        </is>
      </c>
      <c r="C34" s="5" t="inlineStr">
        <is>
          <t>SAMSUNG</t>
        </is>
      </c>
      <c r="D34" s="5" t="inlineStr">
        <is>
          <t>CAP CER 1UF 10V X5R 0201</t>
        </is>
      </c>
      <c r="E34" s="32" t="n">
        <v>2</v>
      </c>
      <c r="F34" s="6" t="n">
        <v>200</v>
      </c>
      <c r="G34" s="5" t="inlineStr">
        <is>
          <t>C60, C78</t>
        </is>
      </c>
      <c r="H34" s="5" t="inlineStr">
        <is>
          <t>B_Cap_0201_KEM</t>
        </is>
      </c>
      <c r="I34" s="5" t="inlineStr">
        <is>
          <t>TBD</t>
        </is>
      </c>
      <c r="J34" s="7" t="n"/>
      <c r="K34" s="48">
        <f>IF(J34="","",F34*J34)</f>
        <v/>
      </c>
      <c r="L34" s="5" t="n"/>
    </row>
    <row r="35">
      <c r="A35" s="5" t="n">
        <v>20</v>
      </c>
      <c r="B35" s="5" t="inlineStr">
        <is>
          <t>GRM1555C1H330JA01D</t>
        </is>
      </c>
      <c r="C35" s="5" t="inlineStr">
        <is>
          <t>Murata</t>
        </is>
      </c>
      <c r="D35" s="5" t="inlineStr">
        <is>
          <t>CAP CER 33PF 50V C0G/NP0 0402</t>
        </is>
      </c>
      <c r="E35" s="32" t="n">
        <v>1</v>
      </c>
      <c r="F35" s="6" t="n">
        <v>100</v>
      </c>
      <c r="G35" s="5" t="inlineStr">
        <is>
          <t>C61</t>
        </is>
      </c>
      <c r="H35" s="5" t="inlineStr">
        <is>
          <t>B_Cap_0402_KEM</t>
        </is>
      </c>
      <c r="I35" s="5" t="inlineStr">
        <is>
          <t>TBD</t>
        </is>
      </c>
      <c r="J35" s="7" t="n"/>
      <c r="K35" s="48">
        <f>IF(J35="","",F35*J35)</f>
        <v/>
      </c>
      <c r="L35" s="5" t="n"/>
    </row>
    <row r="36">
      <c r="A36" s="5" t="n">
        <v>21</v>
      </c>
      <c r="B36" s="5" t="inlineStr">
        <is>
          <t>GRM035R60J475ME15D</t>
        </is>
      </c>
      <c r="C36" s="5" t="inlineStr">
        <is>
          <t>Murata</t>
        </is>
      </c>
      <c r="D36" s="5" t="inlineStr">
        <is>
          <t>CAP CER 4.7UF 6.3V X5R 0201</t>
        </is>
      </c>
      <c r="E36" s="32" t="n">
        <v>8</v>
      </c>
      <c r="F36" s="6" t="n">
        <v>800</v>
      </c>
      <c r="G36" s="5" t="inlineStr">
        <is>
          <t>C66, C69, C73, C74, C76, C77, C79, C82</t>
        </is>
      </c>
      <c r="H36" s="5" t="inlineStr">
        <is>
          <t>B_Cap_0201_KEM</t>
        </is>
      </c>
      <c r="I36" s="5" t="inlineStr">
        <is>
          <t>TBD</t>
        </is>
      </c>
      <c r="J36" s="7" t="n"/>
      <c r="K36" s="48">
        <f>IF(J36="","",F36*J36)</f>
        <v/>
      </c>
      <c r="L36" s="5" t="n"/>
    </row>
    <row r="37">
      <c r="A37" s="5" t="n">
        <v>22</v>
      </c>
      <c r="B37" s="5" t="inlineStr">
        <is>
          <t>GRM033R71C103KE14D</t>
        </is>
      </c>
      <c r="C37" s="5" t="inlineStr">
        <is>
          <t>Murata</t>
        </is>
      </c>
      <c r="D37" s="5" t="inlineStr">
        <is>
          <t>CAP CER 10000PF 16V X7R 0201</t>
        </is>
      </c>
      <c r="E37" s="32" t="n">
        <v>3</v>
      </c>
      <c r="F37" s="6" t="n">
        <v>300</v>
      </c>
      <c r="G37" s="5" t="inlineStr">
        <is>
          <t>C68, C75, C81</t>
        </is>
      </c>
      <c r="H37" s="5" t="inlineStr">
        <is>
          <t>B_Cap_0201_KEM</t>
        </is>
      </c>
      <c r="I37" s="5" t="inlineStr">
        <is>
          <t>TBD</t>
        </is>
      </c>
      <c r="J37" s="7" t="n"/>
      <c r="K37" s="48">
        <f>IF(J37="","",F37*J37)</f>
        <v/>
      </c>
      <c r="L37" s="5" t="n"/>
    </row>
    <row r="38">
      <c r="A38" s="5" t="n">
        <v>23</v>
      </c>
      <c r="B38" s="5" t="inlineStr">
        <is>
          <t>2500060600000</t>
        </is>
      </c>
      <c r="C38" s="5" t="n"/>
      <c r="D38" s="5" t="inlineStr">
        <is>
          <t>Filter cap WSEN-ACCE</t>
        </is>
      </c>
      <c r="E38" s="32" t="n">
        <v>1</v>
      </c>
      <c r="F38" s="6" t="n">
        <v>100</v>
      </c>
      <c r="G38" s="5" t="inlineStr">
        <is>
          <t>Cap1</t>
        </is>
      </c>
      <c r="H38" s="5" t="n"/>
      <c r="I38" s="5" t="inlineStr">
        <is>
          <t>TBD</t>
        </is>
      </c>
      <c r="J38" s="7" t="n"/>
      <c r="K38" s="48">
        <f>IF(J38="","",F38*J38)</f>
        <v/>
      </c>
      <c r="L38" s="5" t="n"/>
    </row>
    <row r="39" ht="28.8" customHeight="1" s="66">
      <c r="A39" s="5" t="n">
        <v>24</v>
      </c>
      <c r="B39" s="5" t="inlineStr">
        <is>
          <t>LTRB RASF.01-6B6C-C3E6-0-0-R18</t>
        </is>
      </c>
      <c r="C39" s="5" t="inlineStr">
        <is>
          <t>Osram</t>
        </is>
      </c>
      <c r="D39" s="5" t="inlineStr">
        <is>
          <t>Ltrb RASF.01-6B6C-C3E6-0-0-R18</t>
        </is>
      </c>
      <c r="E39" s="32" t="n">
        <v>1</v>
      </c>
      <c r="F39" s="6" t="n">
        <v>100</v>
      </c>
      <c r="G39" s="5" t="inlineStr">
        <is>
          <t>D1</t>
        </is>
      </c>
      <c r="H39" s="5" t="inlineStr">
        <is>
          <t>LTRB RASF.01-6B6C-C3E6-0-0-R18</t>
        </is>
      </c>
      <c r="I39" s="5" t="inlineStr">
        <is>
          <t>TBD</t>
        </is>
      </c>
      <c r="J39" s="7" t="n"/>
      <c r="K39" s="48">
        <f>IF(J39="","",F39*J39)</f>
        <v/>
      </c>
      <c r="L39" s="5" t="n"/>
    </row>
    <row r="40" ht="28.8" customHeight="1" s="66">
      <c r="A40" s="5" t="n">
        <v>25</v>
      </c>
      <c r="B40" s="5" t="inlineStr">
        <is>
          <t>FBMH1608HM601-T</t>
        </is>
      </c>
      <c r="C40" s="5" t="inlineStr">
        <is>
          <t>TAIYO</t>
        </is>
      </c>
      <c r="D40" s="5" t="inlineStr">
        <is>
          <t>FERRITE BEAD 600 OHM 0603 1LN</t>
        </is>
      </c>
      <c r="E40" s="32" t="n">
        <v>1</v>
      </c>
      <c r="F40" s="6" t="n">
        <v>100</v>
      </c>
      <c r="G40" s="5" t="inlineStr">
        <is>
          <t>FB1</t>
        </is>
      </c>
      <c r="H40" s="5" t="inlineStr">
        <is>
          <t>FBMH1608HM601-T-Footprint-1</t>
        </is>
      </c>
      <c r="I40" s="5" t="inlineStr">
        <is>
          <t>TBD</t>
        </is>
      </c>
      <c r="J40" s="7" t="n"/>
      <c r="K40" s="48">
        <f>IF(J40="","",F40*J40)</f>
        <v/>
      </c>
      <c r="L40" s="5" t="n"/>
    </row>
    <row r="41" ht="28.8" customHeight="1" s="66">
      <c r="A41" s="5" t="n">
        <v>26</v>
      </c>
      <c r="B41" s="5" t="inlineStr">
        <is>
          <t>BLM15PD121SN1D</t>
        </is>
      </c>
      <c r="C41" s="5" t="inlineStr">
        <is>
          <t>Murata</t>
        </is>
      </c>
      <c r="D41" s="5" t="inlineStr">
        <is>
          <t>Ferrite Beads Multi-Layer 120Ohm 25% 100MHz 1.3A 90mOhm DCR 0402 Paper T/R</t>
        </is>
      </c>
      <c r="E41" s="32" t="n">
        <v>2</v>
      </c>
      <c r="F41" s="6" t="n">
        <v>200</v>
      </c>
      <c r="G41" s="5" t="inlineStr">
        <is>
          <t>FB2, FB3</t>
        </is>
      </c>
      <c r="H41" s="5" t="inlineStr">
        <is>
          <t>Ind_0402_Mur</t>
        </is>
      </c>
      <c r="I41" s="5" t="inlineStr">
        <is>
          <t>TBD</t>
        </is>
      </c>
      <c r="J41" s="7" t="n"/>
      <c r="K41" s="48">
        <f>IF(J41="","",F41*J41)</f>
        <v/>
      </c>
      <c r="L41" s="5" t="n"/>
    </row>
    <row r="42" ht="28.8" customHeight="1" s="66">
      <c r="A42" s="5" t="n">
        <v>27</v>
      </c>
      <c r="B42" s="5" t="inlineStr">
        <is>
          <t>SM03B-SRSS-TB(LF)(SN)</t>
        </is>
      </c>
      <c r="C42" s="5" t="inlineStr">
        <is>
          <t>JST</t>
        </is>
      </c>
      <c r="D42" s="5" t="inlineStr">
        <is>
          <t>CONN HEADER SMD R/A 3POS 1MM</t>
        </is>
      </c>
      <c r="E42" s="32" t="n">
        <v>1</v>
      </c>
      <c r="F42" s="6" t="n">
        <v>100</v>
      </c>
      <c r="G42" s="5" t="inlineStr">
        <is>
          <t>J1</t>
        </is>
      </c>
      <c r="H42" s="5" t="inlineStr">
        <is>
          <t>SM03B-SRSS-TB(LF)(SN)</t>
        </is>
      </c>
      <c r="I42" s="5" t="inlineStr">
        <is>
          <t>TBD</t>
        </is>
      </c>
      <c r="J42" s="7" t="n"/>
      <c r="K42" s="48">
        <f>IF(J42="","",F42*J42)</f>
        <v/>
      </c>
      <c r="L42" s="5" t="n"/>
    </row>
    <row r="43" ht="28.8" customHeight="1" s="66">
      <c r="A43" s="49" t="n">
        <v>28</v>
      </c>
      <c r="B43" s="49" t="inlineStr">
        <is>
          <t>U.FL-R-SMT-1(60)</t>
        </is>
      </c>
      <c r="C43" s="49" t="n"/>
      <c r="D43" s="49" t="inlineStr">
        <is>
          <t>RF Connector, 1 Contact(s), Male, Board Mount, Surface Mount Terminal, Receptacle</t>
        </is>
      </c>
      <c r="E43" s="50" t="n">
        <v>2</v>
      </c>
      <c r="F43" s="51" t="n">
        <v>0</v>
      </c>
      <c r="G43" s="49" t="inlineStr">
        <is>
          <t>J2, J3</t>
        </is>
      </c>
      <c r="H43" s="49" t="inlineStr">
        <is>
          <t>U.FL-R-SMT-1(60)</t>
        </is>
      </c>
      <c r="I43" s="49" t="inlineStr">
        <is>
          <t>DNP</t>
        </is>
      </c>
      <c r="J43" s="52" t="n"/>
      <c r="K43" s="53" t="n">
        <v>0</v>
      </c>
      <c r="L43" s="49" t="inlineStr">
        <is>
          <t>DNP / Not populated</t>
        </is>
      </c>
    </row>
    <row r="44" ht="43.2" customHeight="1" s="66">
      <c r="A44" s="5" t="n">
        <v>29</v>
      </c>
      <c r="B44" s="5" t="inlineStr">
        <is>
          <t>20021121-00010C4LF</t>
        </is>
      </c>
      <c r="C44" s="5" t="inlineStr">
        <is>
          <t>Amphenol</t>
        </is>
      </c>
      <c r="D44" s="5" t="inlineStr">
        <is>
          <t>CONN HEADER SMD 10POS 1.27MM</t>
        </is>
      </c>
      <c r="E44" s="32" t="n">
        <v>2</v>
      </c>
      <c r="F44" s="6" t="n">
        <v>200</v>
      </c>
      <c r="G44" s="5" t="inlineStr">
        <is>
          <t>J4, J9</t>
        </is>
      </c>
      <c r="H44" s="5" t="inlineStr">
        <is>
          <t>20021121-00010C4LF-Footprint-1</t>
        </is>
      </c>
      <c r="I44" s="5" t="inlineStr">
        <is>
          <t>TBD</t>
        </is>
      </c>
      <c r="J44" s="7" t="n"/>
      <c r="K44" s="48">
        <f>IF(J44="","",F44*J44)</f>
        <v/>
      </c>
      <c r="L44" s="5" t="n"/>
    </row>
    <row r="45" ht="28.8" customHeight="1" s="66">
      <c r="A45" s="49" t="n">
        <v>30</v>
      </c>
      <c r="B45" s="49" t="inlineStr">
        <is>
          <t>TC2050-IDC-NL</t>
        </is>
      </c>
      <c r="C45" s="49" t="n"/>
      <c r="D45" s="49" t="inlineStr">
        <is>
          <t>Adapter Cbl Plug Of Nails 10PIN</t>
        </is>
      </c>
      <c r="E45" s="50" t="n">
        <v>2</v>
      </c>
      <c r="F45" s="51" t="n">
        <v>0</v>
      </c>
      <c r="G45" s="49" t="inlineStr">
        <is>
          <t>J5, J10</t>
        </is>
      </c>
      <c r="H45" s="49" t="inlineStr">
        <is>
          <t>TC2050-IDC-NL_GT-Footprint-1</t>
        </is>
      </c>
      <c r="I45" s="49" t="inlineStr">
        <is>
          <t>DNP</t>
        </is>
      </c>
      <c r="J45" s="52" t="n"/>
      <c r="K45" s="53" t="n">
        <v>0</v>
      </c>
      <c r="L45" s="49" t="inlineStr">
        <is>
          <t>DNP / Not populated</t>
        </is>
      </c>
    </row>
    <row r="46" ht="28.8" customHeight="1" s="66">
      <c r="A46" s="5" t="n">
        <v>31</v>
      </c>
      <c r="B46" s="5" t="inlineStr">
        <is>
          <t>504050-1091</t>
        </is>
      </c>
      <c r="C46" s="5" t="inlineStr">
        <is>
          <t>Molex</t>
        </is>
      </c>
      <c r="D46" s="5" t="inlineStr">
        <is>
          <t>1.50Mm Pitch Pico-Lock Pcb Header Single Row Righ Rohs Compliant: Yes</t>
        </is>
      </c>
      <c r="E46" s="32" t="n">
        <v>1</v>
      </c>
      <c r="F46" s="6" t="n">
        <v>100</v>
      </c>
      <c r="G46" s="5" t="inlineStr">
        <is>
          <t>J6</t>
        </is>
      </c>
      <c r="H46" s="5" t="inlineStr">
        <is>
          <t>5040501091-Footprint-1</t>
        </is>
      </c>
      <c r="I46" s="5" t="inlineStr">
        <is>
          <t>TBD</t>
        </is>
      </c>
      <c r="J46" s="7" t="n"/>
      <c r="K46" s="48">
        <f>IF(J46="","",F46*J46)</f>
        <v/>
      </c>
      <c r="L46" s="5" t="n"/>
    </row>
    <row r="47" ht="28.8" customHeight="1" s="66">
      <c r="A47" s="5" t="n">
        <v>32</v>
      </c>
      <c r="B47" s="5" t="inlineStr">
        <is>
          <t>SM08B-SRSS-TB</t>
        </is>
      </c>
      <c r="C47" s="5" t="inlineStr">
        <is>
          <t>JST</t>
        </is>
      </c>
      <c r="D47" s="5" t="inlineStr">
        <is>
          <t>ShroudedHeader, Side Entry, 8Circuit, 1.0mmPitch</t>
        </is>
      </c>
      <c r="E47" s="32" t="n">
        <v>2</v>
      </c>
      <c r="F47" s="6" t="n">
        <v>200</v>
      </c>
      <c r="G47" s="5" t="inlineStr">
        <is>
          <t>J7, J8</t>
        </is>
      </c>
      <c r="H47" s="5" t="inlineStr">
        <is>
          <t>SM08B-SRSS-TB-Footprint-1</t>
        </is>
      </c>
      <c r="I47" s="5" t="inlineStr">
        <is>
          <t>TBD</t>
        </is>
      </c>
      <c r="J47" s="7" t="n"/>
      <c r="K47" s="48">
        <f>IF(J47="","",F47*J47)</f>
        <v/>
      </c>
      <c r="L47" s="5" t="n"/>
    </row>
    <row r="48">
      <c r="A48" s="5" t="n">
        <v>33</v>
      </c>
      <c r="B48" s="5" t="inlineStr">
        <is>
          <t>74479775222A</t>
        </is>
      </c>
      <c r="C48" s="5" t="inlineStr">
        <is>
          <t>wurth</t>
        </is>
      </c>
      <c r="D48" s="5" t="inlineStr">
        <is>
          <t>Multilayer Inductor, 2.2Uh, 0.7A, 0805 Rohs Compliant: Yes</t>
        </is>
      </c>
      <c r="E48" s="32" t="n">
        <v>2</v>
      </c>
      <c r="F48" s="6" t="n">
        <v>200</v>
      </c>
      <c r="G48" s="5" t="inlineStr">
        <is>
          <t>L1, L2</t>
        </is>
      </c>
      <c r="H48" s="5" t="inlineStr">
        <is>
          <t>Ind_0805_TDK</t>
        </is>
      </c>
      <c r="I48" s="5" t="inlineStr">
        <is>
          <t>TBD</t>
        </is>
      </c>
      <c r="J48" s="7" t="n"/>
      <c r="K48" s="48">
        <f>IF(J48="","",F48*J48)</f>
        <v/>
      </c>
      <c r="L48" s="5" t="n"/>
    </row>
    <row r="49" ht="28.8" customHeight="1" s="66">
      <c r="A49" s="5" t="n">
        <v>34</v>
      </c>
      <c r="B49" s="5" t="inlineStr">
        <is>
          <t>LQP03HQ2N5W02D</t>
        </is>
      </c>
      <c r="C49" s="5" t="inlineStr">
        <is>
          <t>Murata</t>
        </is>
      </c>
      <c r="D49" s="5" t="inlineStr">
        <is>
          <t>General Purpose Inductor, 0.0025uH, 2%, 1 Element, Film-Core, 0603/0201</t>
        </is>
      </c>
      <c r="E49" s="32" t="n">
        <v>1</v>
      </c>
      <c r="F49" s="6" t="n">
        <v>100</v>
      </c>
      <c r="G49" s="5" t="inlineStr">
        <is>
          <t>L3</t>
        </is>
      </c>
      <c r="H49" s="5" t="inlineStr">
        <is>
          <t>Ind_0201_Mur</t>
        </is>
      </c>
      <c r="I49" s="5" t="inlineStr">
        <is>
          <t>TBD</t>
        </is>
      </c>
      <c r="J49" s="7" t="n"/>
      <c r="K49" s="48">
        <f>IF(J49="","",F49*J49)</f>
        <v/>
      </c>
      <c r="L49" s="5" t="n"/>
    </row>
    <row r="50" ht="28.8" customHeight="1" s="66">
      <c r="A50" s="5" t="n">
        <v>35</v>
      </c>
      <c r="B50" s="5" t="inlineStr">
        <is>
          <t>LQP03HQ1N7W02D</t>
        </is>
      </c>
      <c r="C50" s="5" t="inlineStr">
        <is>
          <t>Murata</t>
        </is>
      </c>
      <c r="D50" s="5" t="inlineStr">
        <is>
          <t>General Purpose Inductor, 0.0017uH, 2.9412%, 1 Element, Film-Core, 0603/0201</t>
        </is>
      </c>
      <c r="E50" s="32" t="n">
        <v>1</v>
      </c>
      <c r="F50" s="6" t="n">
        <v>100</v>
      </c>
      <c r="G50" s="5" t="inlineStr">
        <is>
          <t>L4</t>
        </is>
      </c>
      <c r="H50" s="5" t="inlineStr">
        <is>
          <t>Ind_0201_Mur</t>
        </is>
      </c>
      <c r="I50" s="5" t="inlineStr">
        <is>
          <t>TBD</t>
        </is>
      </c>
      <c r="J50" s="7" t="n"/>
      <c r="K50" s="48">
        <f>IF(J50="","",F50*J50)</f>
        <v/>
      </c>
      <c r="L50" s="5" t="n"/>
    </row>
    <row r="51" ht="28.8" customHeight="1" s="66">
      <c r="A51" s="49" t="n">
        <v>36</v>
      </c>
      <c r="B51" s="49" t="inlineStr">
        <is>
          <t>LQM18PZ2R2MFHD</t>
        </is>
      </c>
      <c r="C51" s="49" t="n"/>
      <c r="D51" s="49" t="inlineStr">
        <is>
          <t>General Purpose Inductor, 2.2uH, 20%, 1 Element, Ferrite-Core, 1608/0603</t>
        </is>
      </c>
      <c r="E51" s="50" t="n">
        <v>1</v>
      </c>
      <c r="F51" s="51" t="n">
        <v>0</v>
      </c>
      <c r="G51" s="49" t="inlineStr">
        <is>
          <t>L5</t>
        </is>
      </c>
      <c r="H51" s="49" t="inlineStr">
        <is>
          <t>Ind_0603_TDK</t>
        </is>
      </c>
      <c r="I51" s="49" t="inlineStr">
        <is>
          <t>DNP</t>
        </is>
      </c>
      <c r="J51" s="52" t="n"/>
      <c r="K51" s="53" t="n">
        <v>0</v>
      </c>
      <c r="L51" s="49" t="inlineStr">
        <is>
          <t>DNP / Not populated</t>
        </is>
      </c>
    </row>
    <row r="52">
      <c r="A52" s="5" t="n">
        <v>37</v>
      </c>
      <c r="B52" s="5" t="inlineStr">
        <is>
          <t>MEKK2016H1R0M</t>
        </is>
      </c>
      <c r="C52" s="5" t="inlineStr">
        <is>
          <t>TAIYO</t>
        </is>
      </c>
      <c r="D52" s="5" t="inlineStr">
        <is>
          <t>FIXED IND 1UH 3.5A 48 MOHM SMD</t>
        </is>
      </c>
      <c r="E52" s="32" t="n">
        <v>1</v>
      </c>
      <c r="F52" s="6" t="n">
        <v>100</v>
      </c>
      <c r="G52" s="5" t="inlineStr">
        <is>
          <t>L6</t>
        </is>
      </c>
      <c r="H52" s="5" t="inlineStr">
        <is>
          <t>Ind_0806_TDK</t>
        </is>
      </c>
      <c r="I52" s="5" t="inlineStr">
        <is>
          <t>TBD</t>
        </is>
      </c>
      <c r="J52" s="7" t="n"/>
      <c r="K52" s="48">
        <f>IF(J52="","",F52*J52)</f>
        <v/>
      </c>
      <c r="L52" s="5" t="n"/>
    </row>
    <row r="53" ht="28.8" customHeight="1" s="66">
      <c r="A53" s="5" t="n">
        <v>38</v>
      </c>
      <c r="B53" s="5" t="inlineStr">
        <is>
          <t>LSCND1608HKT2R2MF</t>
        </is>
      </c>
      <c r="C53" s="5" t="inlineStr">
        <is>
          <t>TAIYO</t>
        </is>
      </c>
      <c r="D53" s="5" t="inlineStr">
        <is>
          <t>General Purpose Inductor, 2.2uH, 20%, 1 Element, Metal Core-Core, SMD, 0603</t>
        </is>
      </c>
      <c r="E53" s="32" t="n">
        <v>1</v>
      </c>
      <c r="F53" s="6" t="n">
        <v>100</v>
      </c>
      <c r="G53" s="5" t="inlineStr">
        <is>
          <t>L7</t>
        </is>
      </c>
      <c r="H53" s="5" t="inlineStr">
        <is>
          <t>Ind_0603_TDK</t>
        </is>
      </c>
      <c r="I53" s="5" t="inlineStr">
        <is>
          <t>TBD</t>
        </is>
      </c>
      <c r="J53" s="7" t="n"/>
      <c r="K53" s="48">
        <f>IF(J53="","",F53*J53)</f>
        <v/>
      </c>
      <c r="L53" s="5" t="n"/>
    </row>
    <row r="54" ht="28.8" customHeight="1" s="66">
      <c r="A54" s="5" t="n">
        <v>39</v>
      </c>
      <c r="B54" s="5" t="inlineStr">
        <is>
          <t>MMICT5848-00-012</t>
        </is>
      </c>
      <c r="C54" s="5" t="inlineStr">
        <is>
          <t>TDK</t>
        </is>
      </c>
      <c r="D54" s="5" t="inlineStr">
        <is>
          <t>Mems Microphone, Lga-Cav-5, 85Deg C Rohs Compliant: Yes</t>
        </is>
      </c>
      <c r="E54" s="32" t="n">
        <v>3</v>
      </c>
      <c r="F54" s="6" t="n">
        <v>300</v>
      </c>
      <c r="G54" s="5" t="inlineStr">
        <is>
          <t>MIC1, MIC2, MIC3</t>
        </is>
      </c>
      <c r="H54" s="5" t="inlineStr">
        <is>
          <t>MMICT5848-00-012</t>
        </is>
      </c>
      <c r="I54" s="5" t="inlineStr">
        <is>
          <t>TBD</t>
        </is>
      </c>
      <c r="J54" s="7" t="n"/>
      <c r="K54" s="48">
        <f>IF(J54="","",F54*J54)</f>
        <v/>
      </c>
      <c r="L54" s="5" t="n"/>
    </row>
    <row r="55">
      <c r="A55" s="5" t="n">
        <v>40</v>
      </c>
      <c r="B55" s="5" t="inlineStr">
        <is>
          <t>DMC31D5UDJ-7</t>
        </is>
      </c>
      <c r="C55" s="5" t="inlineStr">
        <is>
          <t>Diodes</t>
        </is>
      </c>
      <c r="D55" s="5" t="inlineStr">
        <is>
          <t>MOSFET N/P-CH 30V SOT963</t>
        </is>
      </c>
      <c r="E55" s="32" t="n">
        <v>2</v>
      </c>
      <c r="F55" s="6" t="n">
        <v>200</v>
      </c>
      <c r="G55" s="5" t="inlineStr">
        <is>
          <t>Q1, Q2</t>
        </is>
      </c>
      <c r="H55" s="5" t="inlineStr">
        <is>
          <t>SOT-963</t>
        </is>
      </c>
      <c r="I55" s="5" t="inlineStr">
        <is>
          <t>TBD</t>
        </is>
      </c>
      <c r="J55" s="7" t="n"/>
      <c r="K55" s="48">
        <f>IF(J55="","",F55*J55)</f>
        <v/>
      </c>
      <c r="L55" s="5" t="n"/>
    </row>
    <row r="56">
      <c r="A56" s="5" t="n">
        <v>41</v>
      </c>
      <c r="B56" s="5" t="inlineStr">
        <is>
          <t>RC0402FR-071KL</t>
        </is>
      </c>
      <c r="C56" s="5" t="inlineStr">
        <is>
          <t>Yageo</t>
        </is>
      </c>
      <c r="D56" s="5" t="inlineStr">
        <is>
          <t>RES SMD 1K OHM 1% 1/16W 0402</t>
        </is>
      </c>
      <c r="E56" s="32" t="n">
        <v>4</v>
      </c>
      <c r="F56" s="6" t="n">
        <v>400</v>
      </c>
      <c r="G56" s="5" t="inlineStr">
        <is>
          <t>R1, R3, R11, R13</t>
        </is>
      </c>
      <c r="H56" s="5" t="inlineStr">
        <is>
          <t>Res_0402_YAG</t>
        </is>
      </c>
      <c r="I56" s="5" t="inlineStr">
        <is>
          <t>TBD</t>
        </is>
      </c>
      <c r="J56" s="7" t="n"/>
      <c r="K56" s="48">
        <f>IF(J56="","",F56*J56)</f>
        <v/>
      </c>
      <c r="L56" s="5" t="n"/>
    </row>
    <row r="57">
      <c r="A57" s="5" t="n">
        <v>42</v>
      </c>
      <c r="B57" s="5" t="inlineStr">
        <is>
          <t>RC0402FR-0710KL</t>
        </is>
      </c>
      <c r="C57" s="5" t="inlineStr">
        <is>
          <t>Yageo</t>
        </is>
      </c>
      <c r="D57" s="5" t="inlineStr">
        <is>
          <t>RES SMD 10K OHM 1% 1/16W 0402</t>
        </is>
      </c>
      <c r="E57" s="32" t="n">
        <v>8</v>
      </c>
      <c r="F57" s="6" t="n">
        <v>800</v>
      </c>
      <c r="G57" s="5" t="inlineStr">
        <is>
          <t>R10, R38, R47, R50, R54, R65, R68, R71</t>
        </is>
      </c>
      <c r="H57" s="5" t="inlineStr">
        <is>
          <t>Res_0402_YAG</t>
        </is>
      </c>
      <c r="I57" s="5" t="inlineStr">
        <is>
          <t>TBD</t>
        </is>
      </c>
      <c r="J57" s="7" t="n"/>
      <c r="K57" s="48">
        <f>IF(J57="","",F57*J57)</f>
        <v/>
      </c>
      <c r="L57" s="5" t="n"/>
    </row>
    <row r="58">
      <c r="A58" s="5" t="n">
        <v>43</v>
      </c>
      <c r="B58" s="5" t="inlineStr">
        <is>
          <t>RC0402FR-07100KL</t>
        </is>
      </c>
      <c r="C58" s="5" t="inlineStr">
        <is>
          <t>Yageo</t>
        </is>
      </c>
      <c r="D58" s="5" t="inlineStr">
        <is>
          <t>RES SMD 100K OHM 1% 1/16W 0402</t>
        </is>
      </c>
      <c r="E58" s="32" t="n">
        <v>11</v>
      </c>
      <c r="F58" s="6" t="n">
        <v>1100</v>
      </c>
      <c r="G58" s="5" t="inlineStr">
        <is>
          <t>R2, R4, R12, R14, R48, R63, R76, R79, R81, R82, R83</t>
        </is>
      </c>
      <c r="H58" s="5" t="inlineStr">
        <is>
          <t>Res_0402_YAG</t>
        </is>
      </c>
      <c r="I58" s="5" t="inlineStr">
        <is>
          <t>TBD</t>
        </is>
      </c>
      <c r="J58" s="7" t="n"/>
      <c r="K58" s="48">
        <f>IF(J58="","",F58*J58)</f>
        <v/>
      </c>
      <c r="L58" s="5" t="n"/>
    </row>
    <row r="59">
      <c r="A59" s="5" t="n">
        <v>44</v>
      </c>
      <c r="B59" s="5" t="inlineStr">
        <is>
          <t>RC0402JR-071RL</t>
        </is>
      </c>
      <c r="C59" s="5" t="inlineStr">
        <is>
          <t>Yageo</t>
        </is>
      </c>
      <c r="D59" s="5" t="inlineStr">
        <is>
          <t>RES SMD 1 OHM 5% 1/16W 0402</t>
        </is>
      </c>
      <c r="E59" s="32" t="n">
        <v>1</v>
      </c>
      <c r="F59" s="6" t="n">
        <v>100</v>
      </c>
      <c r="G59" s="5" t="inlineStr">
        <is>
          <t>R22</t>
        </is>
      </c>
      <c r="H59" s="5" t="inlineStr">
        <is>
          <t>Res_0402_YAG</t>
        </is>
      </c>
      <c r="I59" s="5" t="inlineStr">
        <is>
          <t>TBD</t>
        </is>
      </c>
      <c r="J59" s="7" t="n"/>
      <c r="K59" s="48">
        <f>IF(J59="","",F59*J59)</f>
        <v/>
      </c>
      <c r="L59" s="5" t="n"/>
    </row>
    <row r="60">
      <c r="A60" s="5" t="n">
        <v>45</v>
      </c>
      <c r="B60" s="5" t="inlineStr">
        <is>
          <t>RC0201JR-070RL</t>
        </is>
      </c>
      <c r="C60" s="5" t="inlineStr">
        <is>
          <t>Yageo</t>
        </is>
      </c>
      <c r="D60" s="5" t="inlineStr">
        <is>
          <t>RES SMD 0 OHM JUMPER 1/20W 0201</t>
        </is>
      </c>
      <c r="E60" s="32" t="n">
        <v>4</v>
      </c>
      <c r="F60" s="6" t="n">
        <v>400</v>
      </c>
      <c r="G60" s="5" t="inlineStr">
        <is>
          <t>R27, R29, R31, R32</t>
        </is>
      </c>
      <c r="H60" s="5" t="inlineStr">
        <is>
          <t>Res_0201_YAG</t>
        </is>
      </c>
      <c r="I60" s="5" t="inlineStr">
        <is>
          <t>TBD</t>
        </is>
      </c>
      <c r="J60" s="7" t="n"/>
      <c r="K60" s="48">
        <f>IF(J60="","",F60*J60)</f>
        <v/>
      </c>
      <c r="L60" s="5" t="n"/>
    </row>
    <row r="61">
      <c r="A61" s="49" t="n">
        <v>46</v>
      </c>
      <c r="B61" s="49" t="inlineStr">
        <is>
          <t>RC0201JR-070RL</t>
        </is>
      </c>
      <c r="C61" s="49" t="n"/>
      <c r="D61" s="49" t="inlineStr">
        <is>
          <t>RES SMD 0 OHM JUMPER 1/20W 0201</t>
        </is>
      </c>
      <c r="E61" s="50" t="n">
        <v>2</v>
      </c>
      <c r="F61" s="51" t="n">
        <v>0</v>
      </c>
      <c r="G61" s="49" t="inlineStr">
        <is>
          <t>R28, R30</t>
        </is>
      </c>
      <c r="H61" s="49" t="inlineStr">
        <is>
          <t>Res_0201_YAG</t>
        </is>
      </c>
      <c r="I61" s="49" t="inlineStr">
        <is>
          <t>DNP</t>
        </is>
      </c>
      <c r="J61" s="52" t="n"/>
      <c r="K61" s="53" t="n">
        <v>0</v>
      </c>
      <c r="L61" s="49" t="inlineStr">
        <is>
          <t>DNP / Not populated</t>
        </is>
      </c>
    </row>
    <row r="62">
      <c r="A62" s="49" t="n">
        <v>47</v>
      </c>
      <c r="B62" s="49" t="inlineStr">
        <is>
          <t>RC0402FR-0710KL</t>
        </is>
      </c>
      <c r="C62" s="49" t="n"/>
      <c r="D62" s="49" t="inlineStr">
        <is>
          <t>RES SMD 10K OHM 1% 1/16W 0402</t>
        </is>
      </c>
      <c r="E62" s="50" t="n">
        <v>1</v>
      </c>
      <c r="F62" s="51" t="n">
        <v>0</v>
      </c>
      <c r="G62" s="49" t="inlineStr">
        <is>
          <t>R33</t>
        </is>
      </c>
      <c r="H62" s="49" t="inlineStr">
        <is>
          <t>Res_0402_YAG</t>
        </is>
      </c>
      <c r="I62" s="49" t="inlineStr">
        <is>
          <t>DNP</t>
        </is>
      </c>
      <c r="J62" s="52" t="n"/>
      <c r="K62" s="53" t="n">
        <v>0</v>
      </c>
      <c r="L62" s="49" t="inlineStr">
        <is>
          <t>DNP / Not populated</t>
        </is>
      </c>
    </row>
    <row r="63">
      <c r="A63" s="49" t="n">
        <v>48</v>
      </c>
      <c r="B63" s="49" t="inlineStr">
        <is>
          <t>RC0402FR-074K7L</t>
        </is>
      </c>
      <c r="C63" s="49" t="n"/>
      <c r="D63" s="49" t="inlineStr">
        <is>
          <t>RES SMD 4.7K OHM 1% 1/16W 0402</t>
        </is>
      </c>
      <c r="E63" s="50" t="n">
        <v>2</v>
      </c>
      <c r="F63" s="51" t="n">
        <v>0</v>
      </c>
      <c r="G63" s="49" t="inlineStr">
        <is>
          <t>R41, R43</t>
        </is>
      </c>
      <c r="H63" s="49" t="inlineStr">
        <is>
          <t>Res_0402_YAG</t>
        </is>
      </c>
      <c r="I63" s="49" t="inlineStr">
        <is>
          <t>DNP</t>
        </is>
      </c>
      <c r="J63" s="52" t="n"/>
      <c r="K63" s="53" t="n">
        <v>0</v>
      </c>
      <c r="L63" s="49" t="inlineStr">
        <is>
          <t>DNP / Not populated</t>
        </is>
      </c>
    </row>
    <row r="64" ht="43.2" customHeight="1" s="66">
      <c r="A64" s="5" t="n">
        <v>49</v>
      </c>
      <c r="B64" s="5" t="inlineStr">
        <is>
          <t>RC0402JR-070RL</t>
        </is>
      </c>
      <c r="C64" s="5" t="inlineStr">
        <is>
          <t>Yageo</t>
        </is>
      </c>
      <c r="D64" s="5" t="inlineStr">
        <is>
          <t>RES SMD 0 OHM JUMPER 1/16W 0402</t>
        </is>
      </c>
      <c r="E64" s="32" t="n">
        <v>25</v>
      </c>
      <c r="F64" s="6" t="n">
        <v>2500</v>
      </c>
      <c r="G64" s="5" t="inlineStr">
        <is>
          <t>R5, R6, R16, R17, R23, R24, R35, R37, R46, R49, R52, R55, R58, R59, R60, R61, R62, R64, R66, R67, R69, R70, R72, R74, R75</t>
        </is>
      </c>
      <c r="H64" s="5" t="inlineStr">
        <is>
          <t>Res_0402_YAG</t>
        </is>
      </c>
      <c r="I64" s="5" t="inlineStr">
        <is>
          <t>TBD</t>
        </is>
      </c>
      <c r="J64" s="7" t="n"/>
      <c r="K64" s="48">
        <f>IF(J64="","",F64*J64)</f>
        <v/>
      </c>
      <c r="L64" s="5" t="n"/>
    </row>
    <row r="65" ht="43.2" customHeight="1" s="66">
      <c r="A65" s="5" t="n">
        <v>50</v>
      </c>
      <c r="B65" s="5" t="inlineStr">
        <is>
          <t>RC0402FR-074K7L</t>
        </is>
      </c>
      <c r="C65" s="5" t="inlineStr">
        <is>
          <t>Yageo</t>
        </is>
      </c>
      <c r="D65" s="5" t="inlineStr">
        <is>
          <t>RES SMD 4.7K OHM 1% 1/16W 0402</t>
        </is>
      </c>
      <c r="E65" s="32" t="n">
        <v>2</v>
      </c>
      <c r="F65" s="6" t="n">
        <v>200</v>
      </c>
      <c r="G65" s="5" t="inlineStr">
        <is>
          <t>R56, R57</t>
        </is>
      </c>
      <c r="H65" s="5" t="inlineStr">
        <is>
          <t>Res_0402_YAG</t>
        </is>
      </c>
      <c r="I65" s="5" t="inlineStr">
        <is>
          <t>TBD</t>
        </is>
      </c>
      <c r="J65" s="7" t="n"/>
      <c r="K65" s="48">
        <f>IF(J65="","",F65*J65)</f>
        <v/>
      </c>
      <c r="L65" s="5" t="n"/>
    </row>
    <row r="66" ht="28.8" customHeight="1" s="66">
      <c r="A66" s="49" t="n">
        <v>51</v>
      </c>
      <c r="B66" s="49" t="inlineStr">
        <is>
          <t>RC0402JR-070RL</t>
        </is>
      </c>
      <c r="C66" s="49" t="n"/>
      <c r="D66" s="49" t="inlineStr">
        <is>
          <t>RES SMD 0 OHM JUMPER 1/16W 0402</t>
        </is>
      </c>
      <c r="E66" s="50" t="n">
        <v>16</v>
      </c>
      <c r="F66" s="51" t="n">
        <v>0</v>
      </c>
      <c r="G66" s="49" t="inlineStr">
        <is>
          <t>R7, R15, R18, R19, R25, R26, R34, R36, R39, R40, R42, R44, R45, R51, R53, R80</t>
        </is>
      </c>
      <c r="H66" s="49" t="inlineStr">
        <is>
          <t>Res_0402_YAG</t>
        </is>
      </c>
      <c r="I66" s="49" t="inlineStr">
        <is>
          <t>DNP</t>
        </is>
      </c>
      <c r="J66" s="52" t="n"/>
      <c r="K66" s="53" t="n">
        <v>0</v>
      </c>
      <c r="L66" s="49" t="inlineStr">
        <is>
          <t>DNP / Not populated</t>
        </is>
      </c>
    </row>
    <row r="67">
      <c r="A67" s="49" t="n">
        <v>52</v>
      </c>
      <c r="B67" s="49" t="inlineStr">
        <is>
          <t>RC0402FR-07100KL</t>
        </is>
      </c>
      <c r="C67" s="49" t="n"/>
      <c r="D67" s="49" t="inlineStr">
        <is>
          <t>RES SMD 100K OHM 1% 1/16W 0402</t>
        </is>
      </c>
      <c r="E67" s="50" t="n">
        <v>1</v>
      </c>
      <c r="F67" s="51" t="n">
        <v>0</v>
      </c>
      <c r="G67" s="49" t="inlineStr">
        <is>
          <t>R73</t>
        </is>
      </c>
      <c r="H67" s="49" t="inlineStr">
        <is>
          <t>Res_0402_YAG</t>
        </is>
      </c>
      <c r="I67" s="49" t="inlineStr">
        <is>
          <t>DNP</t>
        </is>
      </c>
      <c r="J67" s="52" t="n"/>
      <c r="K67" s="53" t="n">
        <v>0</v>
      </c>
      <c r="L67" s="49" t="inlineStr">
        <is>
          <t>DNP / Not populated</t>
        </is>
      </c>
    </row>
    <row r="68" ht="28.8" customHeight="1" s="66">
      <c r="A68" s="5" t="n">
        <v>53</v>
      </c>
      <c r="B68" s="5" t="inlineStr">
        <is>
          <t>RC0402FR-070RL</t>
        </is>
      </c>
      <c r="C68" s="5" t="inlineStr">
        <is>
          <t>Yageo</t>
        </is>
      </c>
      <c r="D68" s="5" t="inlineStr">
        <is>
          <t>RES 0 OHM JUMPER 1/16W 0402</t>
        </is>
      </c>
      <c r="E68" s="32" t="n">
        <v>1</v>
      </c>
      <c r="F68" s="6" t="n">
        <v>100</v>
      </c>
      <c r="G68" s="5" t="inlineStr">
        <is>
          <t>R77</t>
        </is>
      </c>
      <c r="H68" s="5" t="inlineStr">
        <is>
          <t>Res_0402_YAG</t>
        </is>
      </c>
      <c r="I68" s="5" t="inlineStr">
        <is>
          <t>TBD</t>
        </is>
      </c>
      <c r="J68" s="7" t="n"/>
      <c r="K68" s="48">
        <f>IF(J68="","",F68*J68)</f>
        <v/>
      </c>
      <c r="L68" s="5" t="n"/>
    </row>
    <row r="69" ht="28.8" customHeight="1" s="66">
      <c r="A69" s="5" t="n">
        <v>54</v>
      </c>
      <c r="B69" s="5" t="inlineStr">
        <is>
          <t>RMCF0402FT200K</t>
        </is>
      </c>
      <c r="C69" s="5" t="inlineStr">
        <is>
          <t>Stackpole</t>
        </is>
      </c>
      <c r="D69" s="5" t="inlineStr">
        <is>
          <t>Res Thick Film 0402 200K Ohm 1% 0.063W ±100ppm/°C Molded SMD Paper T/R</t>
        </is>
      </c>
      <c r="E69" s="32" t="n">
        <v>1</v>
      </c>
      <c r="F69" s="6" t="n">
        <v>100</v>
      </c>
      <c r="G69" s="5" t="inlineStr">
        <is>
          <t>R78</t>
        </is>
      </c>
      <c r="H69" s="5" t="inlineStr">
        <is>
          <t>Res_0402_YAG</t>
        </is>
      </c>
      <c r="I69" s="5" t="inlineStr">
        <is>
          <t>TBD</t>
        </is>
      </c>
      <c r="J69" s="7" t="n"/>
      <c r="K69" s="48">
        <f>IF(J69="","",F69*J69)</f>
        <v/>
      </c>
      <c r="L69" s="5" t="n"/>
    </row>
    <row r="70" ht="28.8" customHeight="1" s="66">
      <c r="A70" s="5" t="n">
        <v>55</v>
      </c>
      <c r="B70" s="5" t="inlineStr">
        <is>
          <t>RC0402FR-13330KL</t>
        </is>
      </c>
      <c r="C70" s="5" t="inlineStr">
        <is>
          <t>Yageo</t>
        </is>
      </c>
      <c r="D70" s="5" t="inlineStr">
        <is>
          <t>Res Thick Film 0402 330K Ohm 1% 0.063W(1/16W) ±100ppm/C Pad SMD T/R</t>
        </is>
      </c>
      <c r="E70" s="32" t="n">
        <v>2</v>
      </c>
      <c r="F70" s="6" t="n">
        <v>200</v>
      </c>
      <c r="G70" s="5" t="inlineStr">
        <is>
          <t>R8, R20</t>
        </is>
      </c>
      <c r="H70" s="5" t="inlineStr">
        <is>
          <t>Res_0402_YAG</t>
        </is>
      </c>
      <c r="I70" s="5" t="inlineStr">
        <is>
          <t>TBD</t>
        </is>
      </c>
      <c r="J70" s="7" t="n"/>
      <c r="K70" s="48">
        <f>IF(J70="","",F70*J70)</f>
        <v/>
      </c>
      <c r="L70" s="5" t="n"/>
    </row>
    <row r="71">
      <c r="A71" s="5" t="n">
        <v>56</v>
      </c>
      <c r="B71" s="5" t="inlineStr">
        <is>
          <t>RC0402FR-0722RL</t>
        </is>
      </c>
      <c r="C71" s="5" t="inlineStr">
        <is>
          <t>Yageo</t>
        </is>
      </c>
      <c r="D71" s="5" t="inlineStr">
        <is>
          <t>RES SMD 22 OHM 1% 1/16W 0402</t>
        </is>
      </c>
      <c r="E71" s="32" t="n">
        <v>6</v>
      </c>
      <c r="F71" s="6" t="n">
        <v>600</v>
      </c>
      <c r="G71" s="5" t="inlineStr">
        <is>
          <t>R84, R85, R86, R87, R88, R89</t>
        </is>
      </c>
      <c r="H71" s="5" t="inlineStr">
        <is>
          <t>Res_0402_YAG</t>
        </is>
      </c>
      <c r="I71" s="5" t="inlineStr">
        <is>
          <t>TBD</t>
        </is>
      </c>
      <c r="J71" s="7" t="n"/>
      <c r="K71" s="48">
        <f>IF(J71="","",F71*J71)</f>
        <v/>
      </c>
      <c r="L71" s="5" t="n"/>
    </row>
    <row r="72">
      <c r="A72" s="5" t="n">
        <v>57</v>
      </c>
      <c r="B72" s="5" t="inlineStr">
        <is>
          <t>CRGCQ0402F220K</t>
        </is>
      </c>
      <c r="C72" s="5" t="inlineStr">
        <is>
          <t>TE</t>
        </is>
      </c>
      <c r="D72" s="5" t="inlineStr">
        <is>
          <t>RES SMD 220K OHM 1% 1/16W 0402</t>
        </is>
      </c>
      <c r="E72" s="32" t="n">
        <v>2</v>
      </c>
      <c r="F72" s="6" t="n">
        <v>200</v>
      </c>
      <c r="G72" s="5" t="inlineStr">
        <is>
          <t>R9, R21</t>
        </is>
      </c>
      <c r="H72" s="5" t="inlineStr">
        <is>
          <t>Res_0402_YAG</t>
        </is>
      </c>
      <c r="I72" s="5" t="inlineStr">
        <is>
          <t>TBD</t>
        </is>
      </c>
      <c r="J72" s="7" t="n"/>
      <c r="K72" s="48">
        <f>IF(J72="","",F72*J72)</f>
        <v/>
      </c>
      <c r="L72" s="5" t="n"/>
    </row>
    <row r="73" ht="28.8" customHeight="1" s="66">
      <c r="A73" s="5" t="n">
        <v>58</v>
      </c>
      <c r="B73" s="5" t="inlineStr">
        <is>
          <t>SKY13348-374LF</t>
        </is>
      </c>
      <c r="C73" s="5" t="inlineStr">
        <is>
          <t>Skyworks</t>
        </is>
      </c>
      <c r="D73" s="5" t="inlineStr">
        <is>
          <t>Rf Switch SPDT 500MHZ to 6GHZ 18DB 6-PIN Mlpd Ep T/r / IC Sw 500MHZ-6GHZ SPDT 6-MLP</t>
        </is>
      </c>
      <c r="E73" s="32" t="n">
        <v>1</v>
      </c>
      <c r="F73" s="6" t="n">
        <v>100</v>
      </c>
      <c r="G73" s="5" t="inlineStr">
        <is>
          <t>SW1</t>
        </is>
      </c>
      <c r="H73" s="5" t="inlineStr">
        <is>
          <t>SKY13348-374LF</t>
        </is>
      </c>
      <c r="I73" s="5" t="inlineStr">
        <is>
          <t>TBD</t>
        </is>
      </c>
      <c r="J73" s="7" t="n"/>
      <c r="K73" s="48">
        <f>IF(J73="","",F73*J73)</f>
        <v/>
      </c>
      <c r="L73" s="5" t="n"/>
    </row>
    <row r="74">
      <c r="A74" s="5" t="n">
        <v>59</v>
      </c>
      <c r="B74" s="5" t="inlineStr">
        <is>
          <t>EFP0106GM20-E</t>
        </is>
      </c>
      <c r="C74" s="5" t="inlineStr">
        <is>
          <t>Silicon</t>
        </is>
      </c>
      <c r="D74" s="5" t="inlineStr">
        <is>
          <t>Power Management IC 0.8V to 5.5V 20-Pin QFN EP Tray</t>
        </is>
      </c>
      <c r="E74" s="32" t="n">
        <v>1</v>
      </c>
      <c r="F74" s="6" t="n">
        <v>100</v>
      </c>
      <c r="G74" s="5" t="inlineStr">
        <is>
          <t>U1</t>
        </is>
      </c>
      <c r="H74" s="5" t="inlineStr">
        <is>
          <t>EFP0106GM20-E</t>
        </is>
      </c>
      <c r="I74" s="5" t="inlineStr">
        <is>
          <t>TBD</t>
        </is>
      </c>
      <c r="J74" s="7" t="n"/>
      <c r="K74" s="48">
        <f>IF(J74="","",F74*J74)</f>
        <v/>
      </c>
      <c r="L74" s="5" t="n"/>
    </row>
    <row r="75" ht="28.8" customHeight="1" s="66">
      <c r="A75" s="5" t="n">
        <v>60</v>
      </c>
      <c r="B75" s="5" t="inlineStr">
        <is>
          <t>LP5817DRLR</t>
        </is>
      </c>
      <c r="C75" s="5" t="inlineStr">
        <is>
          <t>TI</t>
        </is>
      </c>
      <c r="D75" s="5" t="inlineStr">
        <is>
          <t>3-channel I2C interface RGB LED driver 8-SOT-5X3 -40 to 125</t>
        </is>
      </c>
      <c r="E75" s="32" t="n">
        <v>1</v>
      </c>
      <c r="F75" s="6" t="n">
        <v>100</v>
      </c>
      <c r="G75" s="5" t="inlineStr">
        <is>
          <t>U10</t>
        </is>
      </c>
      <c r="H75" s="5" t="inlineStr">
        <is>
          <t>SOT-583</t>
        </is>
      </c>
      <c r="I75" s="5" t="inlineStr">
        <is>
          <t>TBD</t>
        </is>
      </c>
      <c r="J75" s="7" t="n"/>
      <c r="K75" s="48">
        <f>IF(J75="","",F75*J75)</f>
        <v/>
      </c>
      <c r="L75" s="5" t="n"/>
    </row>
    <row r="76" ht="28.8" customHeight="1" s="66">
      <c r="A76" s="5" t="n">
        <v>61</v>
      </c>
      <c r="B76" s="5" t="inlineStr">
        <is>
          <t>AP330NPA-IBR</t>
        </is>
      </c>
      <c r="C76" s="5" t="n"/>
      <c r="D76" s="5" t="inlineStr">
        <is>
          <t>Arm® Cortex®-M55 Application Processor with HeliumTM technology</t>
        </is>
      </c>
      <c r="E76" s="32" t="n">
        <v>1</v>
      </c>
      <c r="F76" s="6" t="n">
        <v>100</v>
      </c>
      <c r="G76" s="5" t="inlineStr">
        <is>
          <t>U11</t>
        </is>
      </c>
      <c r="H76" s="5" t="inlineStr">
        <is>
          <t>BGA-169 (5.3x5.3mm)</t>
        </is>
      </c>
      <c r="I76" s="5" t="inlineStr">
        <is>
          <t>TBD</t>
        </is>
      </c>
      <c r="J76" s="7" t="n"/>
      <c r="K76" s="48">
        <f>IF(J76="","",F76*J76)</f>
        <v/>
      </c>
      <c r="L76" s="5" t="n"/>
    </row>
    <row r="77" ht="28.8" customHeight="1" s="66">
      <c r="A77" s="5" t="n">
        <v>62</v>
      </c>
      <c r="B77" s="5" t="inlineStr">
        <is>
          <t>TPS62A02ADRLR</t>
        </is>
      </c>
      <c r="C77" s="5" t="inlineStr">
        <is>
          <t>TI</t>
        </is>
      </c>
      <c r="D77" s="5" t="inlineStr">
        <is>
          <t>IC REG BUCK ADJ 2A SOT563 "Buck Switching Regulator IC Positive Adjustable 0.6V 1 Output 2A SOT-563, SOT-666"</t>
        </is>
      </c>
      <c r="E77" s="32" t="n">
        <v>1</v>
      </c>
      <c r="F77" s="6" t="n">
        <v>100</v>
      </c>
      <c r="G77" s="5" t="inlineStr">
        <is>
          <t>U12</t>
        </is>
      </c>
      <c r="H77" s="5" t="inlineStr">
        <is>
          <t>SOT-563, SOT-666</t>
        </is>
      </c>
      <c r="I77" s="5" t="inlineStr">
        <is>
          <t>TBD</t>
        </is>
      </c>
      <c r="J77" s="7" t="n"/>
      <c r="K77" s="48">
        <f>IF(J77="","",F77*J77)</f>
        <v/>
      </c>
      <c r="L77" s="5" t="n"/>
    </row>
    <row r="78" ht="28.8" customHeight="1" s="66">
      <c r="A78" s="5" t="n">
        <v>63</v>
      </c>
      <c r="B78" s="5" t="inlineStr">
        <is>
          <t>EFR32BG24L210F768IM40-B</t>
        </is>
      </c>
      <c r="C78" s="5" t="inlineStr">
        <is>
          <t>Silicon</t>
        </is>
      </c>
      <c r="D78" s="5" t="inlineStr">
        <is>
          <t>BG24L, 2.4 GHz, 768kB Flash, 96kB RAM, +10 dBm, +85 C, QFN40</t>
        </is>
      </c>
      <c r="E78" s="32" t="n">
        <v>1</v>
      </c>
      <c r="F78" s="6" t="n">
        <v>100</v>
      </c>
      <c r="G78" s="5" t="inlineStr">
        <is>
          <t>U2</t>
        </is>
      </c>
      <c r="H78" s="5" t="inlineStr">
        <is>
          <t>QFN-40</t>
        </is>
      </c>
      <c r="I78" s="5" t="inlineStr">
        <is>
          <t>TBD</t>
        </is>
      </c>
      <c r="J78" s="7" t="n"/>
      <c r="K78" s="48">
        <f>IF(J78="","",F78*J78)</f>
        <v/>
      </c>
      <c r="L78" s="5" t="n"/>
    </row>
    <row r="79" ht="28.8" customHeight="1" s="66">
      <c r="A79" s="49" t="n">
        <v>64</v>
      </c>
      <c r="B79" s="49" t="inlineStr">
        <is>
          <t>SN74LVC1G125DCKR</t>
        </is>
      </c>
      <c r="C79" s="49" t="n"/>
      <c r="D79" s="49" t="inlineStr">
        <is>
          <t>Buffer/Line Driver Buffer, Non-Inverting 1 Element 1 Bits 1.8V, 2.5V, 3.3V, 5V SOT-353 T/R</t>
        </is>
      </c>
      <c r="E79" s="50" t="n">
        <v>1</v>
      </c>
      <c r="F79" s="51" t="n">
        <v>0</v>
      </c>
      <c r="G79" s="49" t="inlineStr">
        <is>
          <t>U3</t>
        </is>
      </c>
      <c r="H79" s="49" t="inlineStr">
        <is>
          <t>5-TSSOP, SC-70-5, SOT-353</t>
        </is>
      </c>
      <c r="I79" s="49" t="inlineStr">
        <is>
          <t>DNP</t>
        </is>
      </c>
      <c r="J79" s="52" t="n"/>
      <c r="K79" s="53" t="n">
        <v>0</v>
      </c>
      <c r="L79" s="49" t="inlineStr">
        <is>
          <t>DNP / Not populated</t>
        </is>
      </c>
    </row>
    <row r="80" ht="28.8" customHeight="1" s="66">
      <c r="A80" s="5" t="n">
        <v>65</v>
      </c>
      <c r="B80" s="5" t="inlineStr">
        <is>
          <t>SN74LVC1G04DCKR</t>
        </is>
      </c>
      <c r="C80" s="5" t="inlineStr">
        <is>
          <t>TI</t>
        </is>
      </c>
      <c r="D80" s="5" t="inlineStr">
        <is>
          <t>IC SINGLE INVERTER GATE SC70-5 / Inverter 1-Element CMOS 5-Pin SC-70 T/R</t>
        </is>
      </c>
      <c r="E80" s="32" t="n">
        <v>1</v>
      </c>
      <c r="F80" s="6" t="n">
        <v>100</v>
      </c>
      <c r="G80" s="5" t="inlineStr">
        <is>
          <t>U4</t>
        </is>
      </c>
      <c r="H80" s="5" t="inlineStr">
        <is>
          <t>5-TSSOP, SC-70-5, SOT-353</t>
        </is>
      </c>
      <c r="I80" s="5" t="inlineStr">
        <is>
          <t>TBD</t>
        </is>
      </c>
      <c r="J80" s="7" t="n"/>
      <c r="K80" s="48">
        <f>IF(J80="","",F80*J80)</f>
        <v/>
      </c>
      <c r="L80" s="5" t="n"/>
    </row>
    <row r="81" ht="28.8" customHeight="1" s="66">
      <c r="A81" s="5" t="n">
        <v>66</v>
      </c>
      <c r="B81" s="5" t="inlineStr">
        <is>
          <t>TPS22919DCKR</t>
        </is>
      </c>
      <c r="C81" s="5" t="inlineStr">
        <is>
          <t>TI</t>
        </is>
      </c>
      <c r="D81" s="5" t="inlineStr">
        <is>
          <t>5.5-V, 1.5-A, 90-mΩ load switch with adj. output discharge 6-SC70 -40 to 105</t>
        </is>
      </c>
      <c r="E81" s="32" t="n">
        <v>2</v>
      </c>
      <c r="F81" s="6" t="n">
        <v>200</v>
      </c>
      <c r="G81" s="5" t="inlineStr">
        <is>
          <t>U5, U7</t>
        </is>
      </c>
      <c r="H81" s="5" t="inlineStr">
        <is>
          <t>6-TSSOP, SC-88, SOT-363</t>
        </is>
      </c>
      <c r="I81" s="5" t="inlineStr">
        <is>
          <t>TBD</t>
        </is>
      </c>
      <c r="J81" s="7" t="n"/>
      <c r="K81" s="48">
        <f>IF(J81="","",F81*J81)</f>
        <v/>
      </c>
      <c r="L81" s="5" t="n"/>
    </row>
    <row r="82">
      <c r="A82" s="5" t="n">
        <v>67</v>
      </c>
      <c r="B82" s="5" t="inlineStr">
        <is>
          <t>2533020201601</t>
        </is>
      </c>
      <c r="C82" s="5" t="inlineStr">
        <is>
          <t>wurth</t>
        </is>
      </c>
      <c r="D82" s="5" t="inlineStr">
        <is>
          <t>Mems Accelerometer, X/Y/Z, Lga-10 Rohs Compliant: Yes</t>
        </is>
      </c>
      <c r="E82" s="32" t="n">
        <v>1</v>
      </c>
      <c r="F82" s="6" t="n">
        <v>100</v>
      </c>
      <c r="G82" s="5" t="inlineStr">
        <is>
          <t>U6</t>
        </is>
      </c>
      <c r="H82" s="5" t="inlineStr">
        <is>
          <t>2533020201601</t>
        </is>
      </c>
      <c r="I82" s="5" t="inlineStr">
        <is>
          <t>TBD</t>
        </is>
      </c>
      <c r="J82" s="7" t="n"/>
      <c r="K82" s="48">
        <f>IF(J82="","",F82*J82)</f>
        <v/>
      </c>
      <c r="L82" s="5" t="n"/>
    </row>
    <row r="83" ht="28.8" customHeight="1" s="66">
      <c r="A83" s="5" t="n">
        <v>68</v>
      </c>
      <c r="B83" s="5" t="inlineStr">
        <is>
          <t>OPT3002DNPR</t>
        </is>
      </c>
      <c r="C83" s="5" t="inlineStr">
        <is>
          <t>TI</t>
        </is>
      </c>
      <c r="D83" s="5" t="inlineStr">
        <is>
          <t>SENSOR OPT 505NM AMBIENT 6USON Optical Sensor Ambient 505nm I2C/SMBus 6-UDFN Exposed Pad</t>
        </is>
      </c>
      <c r="E83" s="32" t="n">
        <v>1</v>
      </c>
      <c r="F83" s="6" t="n">
        <v>100</v>
      </c>
      <c r="G83" s="5" t="inlineStr">
        <is>
          <t>U8</t>
        </is>
      </c>
      <c r="H83" s="5" t="inlineStr">
        <is>
          <t>OPT3002DNPR</t>
        </is>
      </c>
      <c r="I83" s="5" t="inlineStr">
        <is>
          <t>TBD</t>
        </is>
      </c>
      <c r="J83" s="7" t="n"/>
      <c r="K83" s="48">
        <f>IF(J83="","",F83*J83)</f>
        <v/>
      </c>
      <c r="L83" s="5" t="n"/>
    </row>
    <row r="84">
      <c r="A84" s="5" t="n">
        <v>69</v>
      </c>
      <c r="B84" s="5" t="inlineStr">
        <is>
          <t>2525020210002</t>
        </is>
      </c>
      <c r="C84" s="5" t="inlineStr">
        <is>
          <t>wurth</t>
        </is>
      </c>
      <c r="D84" s="5" t="inlineStr">
        <is>
          <t>Humidity Sensor, 0-100RH, 125DEG C;</t>
        </is>
      </c>
      <c r="E84" s="32" t="n">
        <v>1</v>
      </c>
      <c r="F84" s="6" t="n">
        <v>100</v>
      </c>
      <c r="G84" s="5" t="inlineStr">
        <is>
          <t>U9</t>
        </is>
      </c>
      <c r="H84" s="5" t="inlineStr">
        <is>
          <t>2525020210002-GT</t>
        </is>
      </c>
      <c r="I84" s="5" t="inlineStr">
        <is>
          <t>TBD</t>
        </is>
      </c>
      <c r="J84" s="7" t="n"/>
      <c r="K84" s="48">
        <f>IF(J84="","",F84*J84)</f>
        <v/>
      </c>
      <c r="L84" s="5" t="n"/>
    </row>
    <row r="85" ht="28.8" customHeight="1" s="66">
      <c r="A85" s="5" t="n">
        <v>70</v>
      </c>
      <c r="B85" s="5" t="inlineStr">
        <is>
          <t>ECS-400-8-36B-7KY-TR</t>
        </is>
      </c>
      <c r="C85" s="5" t="inlineStr">
        <is>
          <t>ECS</t>
        </is>
      </c>
      <c r="D85" s="5" t="inlineStr">
        <is>
          <t>Crystal 40MHz ±7ppm (Tol) ±10ppm (Stability) 8pF FUND 30Ohm 4-Pin Mini-CSMD T/R</t>
        </is>
      </c>
      <c r="E85" s="32" t="n">
        <v>1</v>
      </c>
      <c r="F85" s="6" t="n">
        <v>100</v>
      </c>
      <c r="G85" s="5" t="inlineStr">
        <is>
          <t>Y1</t>
        </is>
      </c>
      <c r="H85" s="5" t="inlineStr">
        <is>
          <t>ECS-400-8-36B-7KY-TR</t>
        </is>
      </c>
      <c r="I85" s="5" t="inlineStr">
        <is>
          <t>TBD</t>
        </is>
      </c>
      <c r="J85" s="7" t="n"/>
      <c r="K85" s="48">
        <f>IF(J85="","",F85*J85)</f>
        <v/>
      </c>
      <c r="L85" s="5" t="n"/>
    </row>
    <row r="86" ht="28.8" customHeight="1" s="66">
      <c r="A86" s="5" t="n">
        <v>71</v>
      </c>
      <c r="B86" s="5" t="inlineStr">
        <is>
          <t>CM8V-T1A-32.768KHZ-7PF-20PPM-TA-QC</t>
        </is>
      </c>
      <c r="C86" s="5" t="inlineStr">
        <is>
          <t>Micro</t>
        </is>
      </c>
      <c r="D86" s="5" t="inlineStr">
        <is>
          <t>Parallel - Fundamental Quartz Crystal, 0.032768MHz Nom</t>
        </is>
      </c>
      <c r="E86" s="32" t="n">
        <v>1</v>
      </c>
      <c r="F86" s="6" t="n">
        <v>100</v>
      </c>
      <c r="G86" s="5" t="inlineStr">
        <is>
          <t>Y2</t>
        </is>
      </c>
      <c r="H86" s="5" t="inlineStr">
        <is>
          <t>CM8V-T1A-32.768KHZ-7PF-20PPM-TA-QC</t>
        </is>
      </c>
      <c r="I86" s="5" t="inlineStr">
        <is>
          <t>TBD</t>
        </is>
      </c>
      <c r="J86" s="7" t="n"/>
      <c r="K86" s="48">
        <f>IF(J86="","",F86*J86)</f>
        <v/>
      </c>
      <c r="L86" s="5" t="n"/>
    </row>
    <row r="87" ht="28.8" customHeight="1" s="66">
      <c r="A87" s="5" t="n">
        <v>72</v>
      </c>
      <c r="B87" s="5" t="inlineStr">
        <is>
          <t>ABM12W-48.0000MHZ-6-D1X-T3</t>
        </is>
      </c>
      <c r="C87" s="5" t="inlineStr">
        <is>
          <t>Abracon</t>
        </is>
      </c>
      <c r="D87" s="5" t="inlineStr">
        <is>
          <t>Crystal, Quartz, 48 MHz, SMD, 1.6mm x 1.2mm x 0.4mm, 20 ppm, 6 pF, 10 ppm, ABM12W</t>
        </is>
      </c>
      <c r="E87" s="32" t="n">
        <v>1</v>
      </c>
      <c r="F87" s="6" t="n">
        <v>100</v>
      </c>
      <c r="G87" s="5" t="inlineStr">
        <is>
          <t>Y3</t>
        </is>
      </c>
      <c r="H87" s="5" t="inlineStr">
        <is>
          <t>ABM12W-48.0000MHZ-6-D1X-T3</t>
        </is>
      </c>
      <c r="I87" s="5" t="inlineStr">
        <is>
          <t>TBD</t>
        </is>
      </c>
      <c r="J87" s="7" t="n"/>
      <c r="K87" s="48">
        <f>IF(J87="","",F87*J87)</f>
        <v/>
      </c>
      <c r="L87" s="5" t="n"/>
    </row>
    <row r="88" ht="28.8" customHeight="1" s="66">
      <c r="A88" s="5" t="n">
        <v>73</v>
      </c>
      <c r="B88" s="5" t="inlineStr">
        <is>
          <t>9HT12-32.768KDZY-T</t>
        </is>
      </c>
      <c r="C88" s="5" t="inlineStr">
        <is>
          <t>TXC</t>
        </is>
      </c>
      <c r="D88" s="5" t="inlineStr">
        <is>
          <t>1.6X1.0 - 32.768Khz Quartz Xtal/Ceramic, +/-20Ppm @25C, 7Pf</t>
        </is>
      </c>
      <c r="E88" s="32" t="n">
        <v>1</v>
      </c>
      <c r="F88" s="6" t="n">
        <v>100</v>
      </c>
      <c r="G88" s="5" t="inlineStr">
        <is>
          <t>Y4</t>
        </is>
      </c>
      <c r="H88" s="5" t="inlineStr">
        <is>
          <t>9HT12-32.768KDZY-T</t>
        </is>
      </c>
      <c r="I88" s="5" t="inlineStr">
        <is>
          <t>TBD</t>
        </is>
      </c>
      <c r="J88" s="7" t="n"/>
      <c r="K88" s="48">
        <f>IF(J88="","",F88*J88)</f>
        <v/>
      </c>
      <c r="L88" s="5" t="n"/>
    </row>
    <row r="89">
      <c r="A89" s="12" t="n"/>
      <c r="B89" s="8" t="n"/>
      <c r="C89" s="8" t="n"/>
      <c r="D89" s="8" t="n"/>
      <c r="E89" s="33" t="n"/>
      <c r="F89" s="9" t="n"/>
      <c r="G89" s="8" t="n"/>
      <c r="H89" s="8" t="n"/>
      <c r="I89" s="8" t="n"/>
      <c r="J89" s="10" t="n"/>
      <c r="K89" s="10" t="n"/>
      <c r="L89" s="8" t="n"/>
    </row>
    <row r="90">
      <c r="A90" s="13" t="n"/>
      <c r="B90" s="5" t="n"/>
      <c r="C90" s="5" t="n"/>
      <c r="D90" s="5" t="n"/>
      <c r="E90" s="32" t="n"/>
      <c r="F90" s="6" t="n"/>
      <c r="G90" s="5" t="n"/>
      <c r="H90" s="5" t="n"/>
      <c r="I90" s="5" t="n"/>
      <c r="J90" s="7" t="n"/>
      <c r="K90" s="7" t="n"/>
      <c r="L90" s="5" t="n"/>
    </row>
  </sheetData>
  <autoFilter ref="A15:L90"/>
  <mergeCells count="4">
    <mergeCell ref="A8:E8"/>
    <mergeCell ref="D2:H2"/>
    <mergeCell ref="D1:H1"/>
    <mergeCell ref="F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2026-06-16T13:49:26Z</dcterms:created>
  <dcterms:modified xsi:type="dcterms:W3CDTF">2026-06-17T12:57:08Z</dcterms:modified>
  <cp:lastModifiedBy>Yaniv Botvinik</cp:lastModifiedBy>
</cp:coreProperties>
</file>